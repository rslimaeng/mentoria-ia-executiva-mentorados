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DCF Cálculo" sheetId="2" state="visible" r:id="rId2"/>
    <sheet xmlns:r="http://schemas.openxmlformats.org/officeDocument/2006/relationships" name="Sensibi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&quot;R$&quot; * #,##0.00_-;[Red]-&quot;R$&quot; * #,##0.00_-;_-&quot;R$&quot; * &quot;-&quot;??_-;_-@_-"/>
    <numFmt numFmtId="165" formatCode="0.0%"/>
    <numFmt numFmtId="166" formatCode="0.0000%"/>
    <numFmt numFmtId="167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7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1" fillId="2" borderId="1" applyAlignment="1" pivotButton="0" quotePrefix="0" xfId="0">
      <alignment horizontal="center" vertical="center"/>
    </xf>
    <xf numFmtId="164" fontId="0" fillId="4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4" customWidth="1" min="4" max="4"/>
    <col width="26" customWidth="1" min="5" max="5"/>
    <col width="18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Cenário</t>
        </is>
      </c>
      <c r="B1" s="1" t="inlineStr">
        <is>
          <t>Distribuição Ano 1 (R$/mês)</t>
        </is>
      </c>
      <c r="C1" s="1" t="inlineStr">
        <is>
          <t>Crescimento Real a.a.</t>
        </is>
      </c>
      <c r="D1" s="1" t="inlineStr">
        <is>
          <t>Inflação a.a.</t>
        </is>
      </c>
      <c r="E1" s="1" t="inlineStr">
        <is>
          <t>Crescimento Nominal a.a.</t>
        </is>
      </c>
      <c r="F1" s="1" t="inlineStr">
        <is>
          <t>TMA Nominal a.a.</t>
        </is>
      </c>
      <c r="G1" s="1" t="inlineStr">
        <is>
          <t>TMA Nominal a.m.</t>
        </is>
      </c>
      <c r="H1" s="1" t="inlineStr">
        <is>
          <t>Investimento Inicial R$</t>
        </is>
      </c>
      <c r="I1" s="1" t="inlineStr">
        <is>
          <t>Horizonte (meses)</t>
        </is>
      </c>
    </row>
    <row r="2">
      <c r="A2" t="inlineStr">
        <is>
          <t>Estresse</t>
        </is>
      </c>
      <c r="B2" s="2" t="n">
        <v>5000</v>
      </c>
      <c r="C2" s="3" t="n">
        <v>0</v>
      </c>
      <c r="D2" s="3" t="n">
        <v>0.04</v>
      </c>
      <c r="E2" s="3">
        <f>(1+C2)*(1+D2)-1</f>
        <v/>
      </c>
      <c r="F2" s="3" t="n">
        <v>0.22</v>
      </c>
      <c r="G2" s="4">
        <f>(1+F2)^(1/12)-1</f>
        <v/>
      </c>
      <c r="H2" s="2" t="n">
        <v>180000</v>
      </c>
      <c r="I2" t="n">
        <v>60</v>
      </c>
    </row>
    <row r="3">
      <c r="A3" s="5" t="inlineStr">
        <is>
          <t>Base</t>
        </is>
      </c>
      <c r="B3" s="6" t="n">
        <v>7000</v>
      </c>
      <c r="C3" s="7" t="n">
        <v>0.03</v>
      </c>
      <c r="D3" s="7" t="n">
        <v>0.04</v>
      </c>
      <c r="E3" s="7">
        <f>(1+C3)*(1+D3)-1</f>
        <v/>
      </c>
      <c r="F3" s="7" t="n">
        <v>0.19</v>
      </c>
      <c r="G3" s="8">
        <f>(1+F3)^(1/12)-1</f>
        <v/>
      </c>
      <c r="H3" s="6" t="n">
        <v>180000</v>
      </c>
      <c r="I3" s="5" t="n">
        <v>60</v>
      </c>
    </row>
    <row r="4">
      <c r="A4" t="inlineStr">
        <is>
          <t>Otimista</t>
        </is>
      </c>
      <c r="B4" s="2" t="n">
        <v>9000</v>
      </c>
      <c r="C4" s="3" t="n">
        <v>0.05</v>
      </c>
      <c r="D4" s="3" t="n">
        <v>0.04</v>
      </c>
      <c r="E4" s="3">
        <f>(1+C4)*(1+D4)-1</f>
        <v/>
      </c>
      <c r="F4" s="3" t="n">
        <v>0.17</v>
      </c>
      <c r="G4" s="4">
        <f>(1+F4)^(1/12)-1</f>
        <v/>
      </c>
      <c r="H4" s="2" t="n">
        <v>180000</v>
      </c>
      <c r="I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Mês</t>
        </is>
      </c>
      <c r="B1" s="1" t="inlineStr">
        <is>
          <t>Distribuição Nominal R$</t>
        </is>
      </c>
      <c r="C1" s="1" t="inlineStr">
        <is>
          <t>Fator Desconto</t>
        </is>
      </c>
      <c r="D1" s="1" t="inlineStr">
        <is>
          <t>VP do Fluxo R$</t>
        </is>
      </c>
      <c r="E1" s="1" t="inlineStr">
        <is>
          <t>VP Acumulado R$</t>
        </is>
      </c>
    </row>
    <row r="2">
      <c r="A2" t="n">
        <v>0</v>
      </c>
      <c r="B2" s="2">
        <f>-Premissas!H3</f>
        <v/>
      </c>
      <c r="C2" s="9" t="n">
        <v>1</v>
      </c>
      <c r="D2" s="2">
        <f>B2*C2</f>
        <v/>
      </c>
      <c r="E2" s="2">
        <f>D2</f>
        <v/>
      </c>
    </row>
    <row r="3">
      <c r="A3" t="n">
        <v>1</v>
      </c>
      <c r="B3" s="2">
        <f>Premissas!B3*((1+Premissas!E3)^INT((1-1)/12))</f>
        <v/>
      </c>
      <c r="C3" s="9">
        <f>1/((1+Premissas!G3)^1)</f>
        <v/>
      </c>
      <c r="D3" s="2">
        <f>B3*C3</f>
        <v/>
      </c>
      <c r="E3" s="2">
        <f>E2+D3</f>
        <v/>
      </c>
    </row>
    <row r="4">
      <c r="A4" t="n">
        <v>2</v>
      </c>
      <c r="B4" s="2">
        <f>Premissas!B3*((1+Premissas!E3)^INT((2-1)/12))</f>
        <v/>
      </c>
      <c r="C4" s="9">
        <f>1/((1+Premissas!G3)^2)</f>
        <v/>
      </c>
      <c r="D4" s="2">
        <f>B4*C4</f>
        <v/>
      </c>
      <c r="E4" s="2">
        <f>E3+D4</f>
        <v/>
      </c>
    </row>
    <row r="5">
      <c r="A5" t="n">
        <v>3</v>
      </c>
      <c r="B5" s="2">
        <f>Premissas!B3*((1+Premissas!E3)^INT((3-1)/12))</f>
        <v/>
      </c>
      <c r="C5" s="9">
        <f>1/((1+Premissas!G3)^3)</f>
        <v/>
      </c>
      <c r="D5" s="2">
        <f>B5*C5</f>
        <v/>
      </c>
      <c r="E5" s="2">
        <f>E4+D5</f>
        <v/>
      </c>
    </row>
    <row r="6">
      <c r="A6" t="n">
        <v>4</v>
      </c>
      <c r="B6" s="2">
        <f>Premissas!B3*((1+Premissas!E3)^INT((4-1)/12))</f>
        <v/>
      </c>
      <c r="C6" s="9">
        <f>1/((1+Premissas!G3)^4)</f>
        <v/>
      </c>
      <c r="D6" s="2">
        <f>B6*C6</f>
        <v/>
      </c>
      <c r="E6" s="2">
        <f>E5+D6</f>
        <v/>
      </c>
    </row>
    <row r="7">
      <c r="A7" t="n">
        <v>5</v>
      </c>
      <c r="B7" s="2">
        <f>Premissas!B3*((1+Premissas!E3)^INT((5-1)/12))</f>
        <v/>
      </c>
      <c r="C7" s="9">
        <f>1/((1+Premissas!G3)^5)</f>
        <v/>
      </c>
      <c r="D7" s="2">
        <f>B7*C7</f>
        <v/>
      </c>
      <c r="E7" s="2">
        <f>E6+D7</f>
        <v/>
      </c>
    </row>
    <row r="8">
      <c r="A8" t="n">
        <v>6</v>
      </c>
      <c r="B8" s="2">
        <f>Premissas!B3*((1+Premissas!E3)^INT((6-1)/12))</f>
        <v/>
      </c>
      <c r="C8" s="9">
        <f>1/((1+Premissas!G3)^6)</f>
        <v/>
      </c>
      <c r="D8" s="2">
        <f>B8*C8</f>
        <v/>
      </c>
      <c r="E8" s="2">
        <f>E7+D8</f>
        <v/>
      </c>
    </row>
    <row r="9">
      <c r="A9" t="n">
        <v>7</v>
      </c>
      <c r="B9" s="2">
        <f>Premissas!B3*((1+Premissas!E3)^INT((7-1)/12))</f>
        <v/>
      </c>
      <c r="C9" s="9">
        <f>1/((1+Premissas!G3)^7)</f>
        <v/>
      </c>
      <c r="D9" s="2">
        <f>B9*C9</f>
        <v/>
      </c>
      <c r="E9" s="2">
        <f>E8+D9</f>
        <v/>
      </c>
    </row>
    <row r="10">
      <c r="A10" t="n">
        <v>8</v>
      </c>
      <c r="B10" s="2">
        <f>Premissas!B3*((1+Premissas!E3)^INT((8-1)/12))</f>
        <v/>
      </c>
      <c r="C10" s="9">
        <f>1/((1+Premissas!G3)^8)</f>
        <v/>
      </c>
      <c r="D10" s="2">
        <f>B10*C10</f>
        <v/>
      </c>
      <c r="E10" s="2">
        <f>E9+D10</f>
        <v/>
      </c>
    </row>
    <row r="11">
      <c r="A11" t="n">
        <v>9</v>
      </c>
      <c r="B11" s="2">
        <f>Premissas!B3*((1+Premissas!E3)^INT((9-1)/12))</f>
        <v/>
      </c>
      <c r="C11" s="9">
        <f>1/((1+Premissas!G3)^9)</f>
        <v/>
      </c>
      <c r="D11" s="2">
        <f>B11*C11</f>
        <v/>
      </c>
      <c r="E11" s="2">
        <f>E10+D11</f>
        <v/>
      </c>
    </row>
    <row r="12">
      <c r="A12" t="n">
        <v>10</v>
      </c>
      <c r="B12" s="2">
        <f>Premissas!B3*((1+Premissas!E3)^INT((10-1)/12))</f>
        <v/>
      </c>
      <c r="C12" s="9">
        <f>1/((1+Premissas!G3)^10)</f>
        <v/>
      </c>
      <c r="D12" s="2">
        <f>B12*C12</f>
        <v/>
      </c>
      <c r="E12" s="2">
        <f>E11+D12</f>
        <v/>
      </c>
    </row>
    <row r="13">
      <c r="A13" t="n">
        <v>11</v>
      </c>
      <c r="B13" s="2">
        <f>Premissas!B3*((1+Premissas!E3)^INT((11-1)/12))</f>
        <v/>
      </c>
      <c r="C13" s="9">
        <f>1/((1+Premissas!G3)^11)</f>
        <v/>
      </c>
      <c r="D13" s="2">
        <f>B13*C13</f>
        <v/>
      </c>
      <c r="E13" s="2">
        <f>E12+D13</f>
        <v/>
      </c>
    </row>
    <row r="14">
      <c r="A14" t="n">
        <v>12</v>
      </c>
      <c r="B14" s="2">
        <f>Premissas!B3*((1+Premissas!E3)^INT((12-1)/12))</f>
        <v/>
      </c>
      <c r="C14" s="9">
        <f>1/((1+Premissas!G3)^12)</f>
        <v/>
      </c>
      <c r="D14" s="2">
        <f>B14*C14</f>
        <v/>
      </c>
      <c r="E14" s="2">
        <f>E13+D14</f>
        <v/>
      </c>
    </row>
    <row r="15">
      <c r="A15" t="n">
        <v>13</v>
      </c>
      <c r="B15" s="2">
        <f>Premissas!B3*((1+Premissas!E3)^INT((13-1)/12))</f>
        <v/>
      </c>
      <c r="C15" s="9">
        <f>1/((1+Premissas!G3)^13)</f>
        <v/>
      </c>
      <c r="D15" s="2">
        <f>B15*C15</f>
        <v/>
      </c>
      <c r="E15" s="2">
        <f>E14+D15</f>
        <v/>
      </c>
    </row>
    <row r="16">
      <c r="A16" t="n">
        <v>14</v>
      </c>
      <c r="B16" s="2">
        <f>Premissas!B3*((1+Premissas!E3)^INT((14-1)/12))</f>
        <v/>
      </c>
      <c r="C16" s="9">
        <f>1/((1+Premissas!G3)^14)</f>
        <v/>
      </c>
      <c r="D16" s="2">
        <f>B16*C16</f>
        <v/>
      </c>
      <c r="E16" s="2">
        <f>E15+D16</f>
        <v/>
      </c>
    </row>
    <row r="17">
      <c r="A17" t="n">
        <v>15</v>
      </c>
      <c r="B17" s="2">
        <f>Premissas!B3*((1+Premissas!E3)^INT((15-1)/12))</f>
        <v/>
      </c>
      <c r="C17" s="9">
        <f>1/((1+Premissas!G3)^15)</f>
        <v/>
      </c>
      <c r="D17" s="2">
        <f>B17*C17</f>
        <v/>
      </c>
      <c r="E17" s="2">
        <f>E16+D17</f>
        <v/>
      </c>
    </row>
    <row r="18">
      <c r="A18" t="n">
        <v>16</v>
      </c>
      <c r="B18" s="2">
        <f>Premissas!B3*((1+Premissas!E3)^INT((16-1)/12))</f>
        <v/>
      </c>
      <c r="C18" s="9">
        <f>1/((1+Premissas!G3)^16)</f>
        <v/>
      </c>
      <c r="D18" s="2">
        <f>B18*C18</f>
        <v/>
      </c>
      <c r="E18" s="2">
        <f>E17+D18</f>
        <v/>
      </c>
    </row>
    <row r="19">
      <c r="A19" t="n">
        <v>17</v>
      </c>
      <c r="B19" s="2">
        <f>Premissas!B3*((1+Premissas!E3)^INT((17-1)/12))</f>
        <v/>
      </c>
      <c r="C19" s="9">
        <f>1/((1+Premissas!G3)^17)</f>
        <v/>
      </c>
      <c r="D19" s="2">
        <f>B19*C19</f>
        <v/>
      </c>
      <c r="E19" s="2">
        <f>E18+D19</f>
        <v/>
      </c>
    </row>
    <row r="20">
      <c r="A20" t="n">
        <v>18</v>
      </c>
      <c r="B20" s="2">
        <f>Premissas!B3*((1+Premissas!E3)^INT((18-1)/12))</f>
        <v/>
      </c>
      <c r="C20" s="9">
        <f>1/((1+Premissas!G3)^18)</f>
        <v/>
      </c>
      <c r="D20" s="2">
        <f>B20*C20</f>
        <v/>
      </c>
      <c r="E20" s="2">
        <f>E19+D20</f>
        <v/>
      </c>
    </row>
    <row r="21">
      <c r="A21" t="n">
        <v>19</v>
      </c>
      <c r="B21" s="2">
        <f>Premissas!B3*((1+Premissas!E3)^INT((19-1)/12))</f>
        <v/>
      </c>
      <c r="C21" s="9">
        <f>1/((1+Premissas!G3)^19)</f>
        <v/>
      </c>
      <c r="D21" s="2">
        <f>B21*C21</f>
        <v/>
      </c>
      <c r="E21" s="2">
        <f>E20+D21</f>
        <v/>
      </c>
    </row>
    <row r="22">
      <c r="A22" t="n">
        <v>20</v>
      </c>
      <c r="B22" s="2">
        <f>Premissas!B3*((1+Premissas!E3)^INT((20-1)/12))</f>
        <v/>
      </c>
      <c r="C22" s="9">
        <f>1/((1+Premissas!G3)^20)</f>
        <v/>
      </c>
      <c r="D22" s="2">
        <f>B22*C22</f>
        <v/>
      </c>
      <c r="E22" s="2">
        <f>E21+D22</f>
        <v/>
      </c>
    </row>
    <row r="23">
      <c r="A23" t="n">
        <v>21</v>
      </c>
      <c r="B23" s="2">
        <f>Premissas!B3*((1+Premissas!E3)^INT((21-1)/12))</f>
        <v/>
      </c>
      <c r="C23" s="9">
        <f>1/((1+Premissas!G3)^21)</f>
        <v/>
      </c>
      <c r="D23" s="2">
        <f>B23*C23</f>
        <v/>
      </c>
      <c r="E23" s="2">
        <f>E22+D23</f>
        <v/>
      </c>
    </row>
    <row r="24">
      <c r="A24" t="n">
        <v>22</v>
      </c>
      <c r="B24" s="2">
        <f>Premissas!B3*((1+Premissas!E3)^INT((22-1)/12))</f>
        <v/>
      </c>
      <c r="C24" s="9">
        <f>1/((1+Premissas!G3)^22)</f>
        <v/>
      </c>
      <c r="D24" s="2">
        <f>B24*C24</f>
        <v/>
      </c>
      <c r="E24" s="2">
        <f>E23+D24</f>
        <v/>
      </c>
    </row>
    <row r="25">
      <c r="A25" t="n">
        <v>23</v>
      </c>
      <c r="B25" s="2">
        <f>Premissas!B3*((1+Premissas!E3)^INT((23-1)/12))</f>
        <v/>
      </c>
      <c r="C25" s="9">
        <f>1/((1+Premissas!G3)^23)</f>
        <v/>
      </c>
      <c r="D25" s="2">
        <f>B25*C25</f>
        <v/>
      </c>
      <c r="E25" s="2">
        <f>E24+D25</f>
        <v/>
      </c>
    </row>
    <row r="26">
      <c r="A26" t="n">
        <v>24</v>
      </c>
      <c r="B26" s="2">
        <f>Premissas!B3*((1+Premissas!E3)^INT((24-1)/12))</f>
        <v/>
      </c>
      <c r="C26" s="9">
        <f>1/((1+Premissas!G3)^24)</f>
        <v/>
      </c>
      <c r="D26" s="2">
        <f>B26*C26</f>
        <v/>
      </c>
      <c r="E26" s="2">
        <f>E25+D26</f>
        <v/>
      </c>
    </row>
    <row r="27">
      <c r="A27" t="n">
        <v>25</v>
      </c>
      <c r="B27" s="2">
        <f>Premissas!B3*((1+Premissas!E3)^INT((25-1)/12))</f>
        <v/>
      </c>
      <c r="C27" s="9">
        <f>1/((1+Premissas!G3)^25)</f>
        <v/>
      </c>
      <c r="D27" s="2">
        <f>B27*C27</f>
        <v/>
      </c>
      <c r="E27" s="2">
        <f>E26+D27</f>
        <v/>
      </c>
    </row>
    <row r="28">
      <c r="A28" t="n">
        <v>26</v>
      </c>
      <c r="B28" s="2">
        <f>Premissas!B3*((1+Premissas!E3)^INT((26-1)/12))</f>
        <v/>
      </c>
      <c r="C28" s="9">
        <f>1/((1+Premissas!G3)^26)</f>
        <v/>
      </c>
      <c r="D28" s="2">
        <f>B28*C28</f>
        <v/>
      </c>
      <c r="E28" s="2">
        <f>E27+D28</f>
        <v/>
      </c>
    </row>
    <row r="29">
      <c r="A29" t="n">
        <v>27</v>
      </c>
      <c r="B29" s="2">
        <f>Premissas!B3*((1+Premissas!E3)^INT((27-1)/12))</f>
        <v/>
      </c>
      <c r="C29" s="9">
        <f>1/((1+Premissas!G3)^27)</f>
        <v/>
      </c>
      <c r="D29" s="2">
        <f>B29*C29</f>
        <v/>
      </c>
      <c r="E29" s="2">
        <f>E28+D29</f>
        <v/>
      </c>
    </row>
    <row r="30">
      <c r="A30" t="n">
        <v>28</v>
      </c>
      <c r="B30" s="2">
        <f>Premissas!B3*((1+Premissas!E3)^INT((28-1)/12))</f>
        <v/>
      </c>
      <c r="C30" s="9">
        <f>1/((1+Premissas!G3)^28)</f>
        <v/>
      </c>
      <c r="D30" s="2">
        <f>B30*C30</f>
        <v/>
      </c>
      <c r="E30" s="2">
        <f>E29+D30</f>
        <v/>
      </c>
    </row>
    <row r="31">
      <c r="A31" t="n">
        <v>29</v>
      </c>
      <c r="B31" s="2">
        <f>Premissas!B3*((1+Premissas!E3)^INT((29-1)/12))</f>
        <v/>
      </c>
      <c r="C31" s="9">
        <f>1/((1+Premissas!G3)^29)</f>
        <v/>
      </c>
      <c r="D31" s="2">
        <f>B31*C31</f>
        <v/>
      </c>
      <c r="E31" s="2">
        <f>E30+D31</f>
        <v/>
      </c>
    </row>
    <row r="32">
      <c r="A32" t="n">
        <v>30</v>
      </c>
      <c r="B32" s="2">
        <f>Premissas!B3*((1+Premissas!E3)^INT((30-1)/12))</f>
        <v/>
      </c>
      <c r="C32" s="9">
        <f>1/((1+Premissas!G3)^30)</f>
        <v/>
      </c>
      <c r="D32" s="2">
        <f>B32*C32</f>
        <v/>
      </c>
      <c r="E32" s="2">
        <f>E31+D32</f>
        <v/>
      </c>
    </row>
    <row r="33">
      <c r="A33" t="n">
        <v>31</v>
      </c>
      <c r="B33" s="2">
        <f>Premissas!B3*((1+Premissas!E3)^INT((31-1)/12))</f>
        <v/>
      </c>
      <c r="C33" s="9">
        <f>1/((1+Premissas!G3)^31)</f>
        <v/>
      </c>
      <c r="D33" s="2">
        <f>B33*C33</f>
        <v/>
      </c>
      <c r="E33" s="2">
        <f>E32+D33</f>
        <v/>
      </c>
    </row>
    <row r="34">
      <c r="A34" t="n">
        <v>32</v>
      </c>
      <c r="B34" s="2">
        <f>Premissas!B3*((1+Premissas!E3)^INT((32-1)/12))</f>
        <v/>
      </c>
      <c r="C34" s="9">
        <f>1/((1+Premissas!G3)^32)</f>
        <v/>
      </c>
      <c r="D34" s="2">
        <f>B34*C34</f>
        <v/>
      </c>
      <c r="E34" s="2">
        <f>E33+D34</f>
        <v/>
      </c>
    </row>
    <row r="35">
      <c r="A35" t="n">
        <v>33</v>
      </c>
      <c r="B35" s="2">
        <f>Premissas!B3*((1+Premissas!E3)^INT((33-1)/12))</f>
        <v/>
      </c>
      <c r="C35" s="9">
        <f>1/((1+Premissas!G3)^33)</f>
        <v/>
      </c>
      <c r="D35" s="2">
        <f>B35*C35</f>
        <v/>
      </c>
      <c r="E35" s="2">
        <f>E34+D35</f>
        <v/>
      </c>
    </row>
    <row r="36">
      <c r="A36" t="n">
        <v>34</v>
      </c>
      <c r="B36" s="2">
        <f>Premissas!B3*((1+Premissas!E3)^INT((34-1)/12))</f>
        <v/>
      </c>
      <c r="C36" s="9">
        <f>1/((1+Premissas!G3)^34)</f>
        <v/>
      </c>
      <c r="D36" s="2">
        <f>B36*C36</f>
        <v/>
      </c>
      <c r="E36" s="2">
        <f>E35+D36</f>
        <v/>
      </c>
    </row>
    <row r="37">
      <c r="A37" t="n">
        <v>35</v>
      </c>
      <c r="B37" s="2">
        <f>Premissas!B3*((1+Premissas!E3)^INT((35-1)/12))</f>
        <v/>
      </c>
      <c r="C37" s="9">
        <f>1/((1+Premissas!G3)^35)</f>
        <v/>
      </c>
      <c r="D37" s="2">
        <f>B37*C37</f>
        <v/>
      </c>
      <c r="E37" s="2">
        <f>E36+D37</f>
        <v/>
      </c>
    </row>
    <row r="38">
      <c r="A38" t="n">
        <v>36</v>
      </c>
      <c r="B38" s="2">
        <f>Premissas!B3*((1+Premissas!E3)^INT((36-1)/12))</f>
        <v/>
      </c>
      <c r="C38" s="9">
        <f>1/((1+Premissas!G3)^36)</f>
        <v/>
      </c>
      <c r="D38" s="2">
        <f>B38*C38</f>
        <v/>
      </c>
      <c r="E38" s="2">
        <f>E37+D38</f>
        <v/>
      </c>
    </row>
    <row r="39">
      <c r="A39" t="n">
        <v>37</v>
      </c>
      <c r="B39" s="2">
        <f>Premissas!B3*((1+Premissas!E3)^INT((37-1)/12))</f>
        <v/>
      </c>
      <c r="C39" s="9">
        <f>1/((1+Premissas!G3)^37)</f>
        <v/>
      </c>
      <c r="D39" s="2">
        <f>B39*C39</f>
        <v/>
      </c>
      <c r="E39" s="2">
        <f>E38+D39</f>
        <v/>
      </c>
    </row>
    <row r="40">
      <c r="A40" t="n">
        <v>38</v>
      </c>
      <c r="B40" s="2">
        <f>Premissas!B3*((1+Premissas!E3)^INT((38-1)/12))</f>
        <v/>
      </c>
      <c r="C40" s="9">
        <f>1/((1+Premissas!G3)^38)</f>
        <v/>
      </c>
      <c r="D40" s="2">
        <f>B40*C40</f>
        <v/>
      </c>
      <c r="E40" s="2">
        <f>E39+D40</f>
        <v/>
      </c>
    </row>
    <row r="41">
      <c r="A41" t="n">
        <v>39</v>
      </c>
      <c r="B41" s="2">
        <f>Premissas!B3*((1+Premissas!E3)^INT((39-1)/12))</f>
        <v/>
      </c>
      <c r="C41" s="9">
        <f>1/((1+Premissas!G3)^39)</f>
        <v/>
      </c>
      <c r="D41" s="2">
        <f>B41*C41</f>
        <v/>
      </c>
      <c r="E41" s="2">
        <f>E40+D41</f>
        <v/>
      </c>
    </row>
    <row r="42">
      <c r="A42" t="n">
        <v>40</v>
      </c>
      <c r="B42" s="2">
        <f>Premissas!B3*((1+Premissas!E3)^INT((40-1)/12))</f>
        <v/>
      </c>
      <c r="C42" s="9">
        <f>1/((1+Premissas!G3)^40)</f>
        <v/>
      </c>
      <c r="D42" s="2">
        <f>B42*C42</f>
        <v/>
      </c>
      <c r="E42" s="2">
        <f>E41+D42</f>
        <v/>
      </c>
    </row>
    <row r="43">
      <c r="A43" t="n">
        <v>41</v>
      </c>
      <c r="B43" s="2">
        <f>Premissas!B3*((1+Premissas!E3)^INT((41-1)/12))</f>
        <v/>
      </c>
      <c r="C43" s="9">
        <f>1/((1+Premissas!G3)^41)</f>
        <v/>
      </c>
      <c r="D43" s="2">
        <f>B43*C43</f>
        <v/>
      </c>
      <c r="E43" s="2">
        <f>E42+D43</f>
        <v/>
      </c>
    </row>
    <row r="44">
      <c r="A44" t="n">
        <v>42</v>
      </c>
      <c r="B44" s="2">
        <f>Premissas!B3*((1+Premissas!E3)^INT((42-1)/12))</f>
        <v/>
      </c>
      <c r="C44" s="9">
        <f>1/((1+Premissas!G3)^42)</f>
        <v/>
      </c>
      <c r="D44" s="2">
        <f>B44*C44</f>
        <v/>
      </c>
      <c r="E44" s="2">
        <f>E43+D44</f>
        <v/>
      </c>
    </row>
    <row r="45">
      <c r="A45" t="n">
        <v>43</v>
      </c>
      <c r="B45" s="2">
        <f>Premissas!B3*((1+Premissas!E3)^INT((43-1)/12))</f>
        <v/>
      </c>
      <c r="C45" s="9">
        <f>1/((1+Premissas!G3)^43)</f>
        <v/>
      </c>
      <c r="D45" s="2">
        <f>B45*C45</f>
        <v/>
      </c>
      <c r="E45" s="2">
        <f>E44+D45</f>
        <v/>
      </c>
    </row>
    <row r="46">
      <c r="A46" t="n">
        <v>44</v>
      </c>
      <c r="B46" s="2">
        <f>Premissas!B3*((1+Premissas!E3)^INT((44-1)/12))</f>
        <v/>
      </c>
      <c r="C46" s="9">
        <f>1/((1+Premissas!G3)^44)</f>
        <v/>
      </c>
      <c r="D46" s="2">
        <f>B46*C46</f>
        <v/>
      </c>
      <c r="E46" s="2">
        <f>E45+D46</f>
        <v/>
      </c>
    </row>
    <row r="47">
      <c r="A47" t="n">
        <v>45</v>
      </c>
      <c r="B47" s="2">
        <f>Premissas!B3*((1+Premissas!E3)^INT((45-1)/12))</f>
        <v/>
      </c>
      <c r="C47" s="9">
        <f>1/((1+Premissas!G3)^45)</f>
        <v/>
      </c>
      <c r="D47" s="2">
        <f>B47*C47</f>
        <v/>
      </c>
      <c r="E47" s="2">
        <f>E46+D47</f>
        <v/>
      </c>
    </row>
    <row r="48">
      <c r="A48" t="n">
        <v>46</v>
      </c>
      <c r="B48" s="2">
        <f>Premissas!B3*((1+Premissas!E3)^INT((46-1)/12))</f>
        <v/>
      </c>
      <c r="C48" s="9">
        <f>1/((1+Premissas!G3)^46)</f>
        <v/>
      </c>
      <c r="D48" s="2">
        <f>B48*C48</f>
        <v/>
      </c>
      <c r="E48" s="2">
        <f>E47+D48</f>
        <v/>
      </c>
    </row>
    <row r="49">
      <c r="A49" t="n">
        <v>47</v>
      </c>
      <c r="B49" s="2">
        <f>Premissas!B3*((1+Premissas!E3)^INT((47-1)/12))</f>
        <v/>
      </c>
      <c r="C49" s="9">
        <f>1/((1+Premissas!G3)^47)</f>
        <v/>
      </c>
      <c r="D49" s="2">
        <f>B49*C49</f>
        <v/>
      </c>
      <c r="E49" s="2">
        <f>E48+D49</f>
        <v/>
      </c>
    </row>
    <row r="50">
      <c r="A50" t="n">
        <v>48</v>
      </c>
      <c r="B50" s="2">
        <f>Premissas!B3*((1+Premissas!E3)^INT((48-1)/12))</f>
        <v/>
      </c>
      <c r="C50" s="9">
        <f>1/((1+Premissas!G3)^48)</f>
        <v/>
      </c>
      <c r="D50" s="2">
        <f>B50*C50</f>
        <v/>
      </c>
      <c r="E50" s="2">
        <f>E49+D50</f>
        <v/>
      </c>
    </row>
    <row r="51">
      <c r="A51" t="n">
        <v>49</v>
      </c>
      <c r="B51" s="2">
        <f>Premissas!B3*((1+Premissas!E3)^INT((49-1)/12))</f>
        <v/>
      </c>
      <c r="C51" s="9">
        <f>1/((1+Premissas!G3)^49)</f>
        <v/>
      </c>
      <c r="D51" s="2">
        <f>B51*C51</f>
        <v/>
      </c>
      <c r="E51" s="2">
        <f>E50+D51</f>
        <v/>
      </c>
    </row>
    <row r="52">
      <c r="A52" t="n">
        <v>50</v>
      </c>
      <c r="B52" s="2">
        <f>Premissas!B3*((1+Premissas!E3)^INT((50-1)/12))</f>
        <v/>
      </c>
      <c r="C52" s="9">
        <f>1/((1+Premissas!G3)^50)</f>
        <v/>
      </c>
      <c r="D52" s="2">
        <f>B52*C52</f>
        <v/>
      </c>
      <c r="E52" s="2">
        <f>E51+D52</f>
        <v/>
      </c>
    </row>
    <row r="53">
      <c r="A53" t="n">
        <v>51</v>
      </c>
      <c r="B53" s="2">
        <f>Premissas!B3*((1+Premissas!E3)^INT((51-1)/12))</f>
        <v/>
      </c>
      <c r="C53" s="9">
        <f>1/((1+Premissas!G3)^51)</f>
        <v/>
      </c>
      <c r="D53" s="2">
        <f>B53*C53</f>
        <v/>
      </c>
      <c r="E53" s="2">
        <f>E52+D53</f>
        <v/>
      </c>
    </row>
    <row r="54">
      <c r="A54" t="n">
        <v>52</v>
      </c>
      <c r="B54" s="2">
        <f>Premissas!B3*((1+Premissas!E3)^INT((52-1)/12))</f>
        <v/>
      </c>
      <c r="C54" s="9">
        <f>1/((1+Premissas!G3)^52)</f>
        <v/>
      </c>
      <c r="D54" s="2">
        <f>B54*C54</f>
        <v/>
      </c>
      <c r="E54" s="2">
        <f>E53+D54</f>
        <v/>
      </c>
    </row>
    <row r="55">
      <c r="A55" t="n">
        <v>53</v>
      </c>
      <c r="B55" s="2">
        <f>Premissas!B3*((1+Premissas!E3)^INT((53-1)/12))</f>
        <v/>
      </c>
      <c r="C55" s="9">
        <f>1/((1+Premissas!G3)^53)</f>
        <v/>
      </c>
      <c r="D55" s="2">
        <f>B55*C55</f>
        <v/>
      </c>
      <c r="E55" s="2">
        <f>E54+D55</f>
        <v/>
      </c>
    </row>
    <row r="56">
      <c r="A56" t="n">
        <v>54</v>
      </c>
      <c r="B56" s="2">
        <f>Premissas!B3*((1+Premissas!E3)^INT((54-1)/12))</f>
        <v/>
      </c>
      <c r="C56" s="9">
        <f>1/((1+Premissas!G3)^54)</f>
        <v/>
      </c>
      <c r="D56" s="2">
        <f>B56*C56</f>
        <v/>
      </c>
      <c r="E56" s="2">
        <f>E55+D56</f>
        <v/>
      </c>
    </row>
    <row r="57">
      <c r="A57" t="n">
        <v>55</v>
      </c>
      <c r="B57" s="2">
        <f>Premissas!B3*((1+Premissas!E3)^INT((55-1)/12))</f>
        <v/>
      </c>
      <c r="C57" s="9">
        <f>1/((1+Premissas!G3)^55)</f>
        <v/>
      </c>
      <c r="D57" s="2">
        <f>B57*C57</f>
        <v/>
      </c>
      <c r="E57" s="2">
        <f>E56+D57</f>
        <v/>
      </c>
    </row>
    <row r="58">
      <c r="A58" t="n">
        <v>56</v>
      </c>
      <c r="B58" s="2">
        <f>Premissas!B3*((1+Premissas!E3)^INT((56-1)/12))</f>
        <v/>
      </c>
      <c r="C58" s="9">
        <f>1/((1+Premissas!G3)^56)</f>
        <v/>
      </c>
      <c r="D58" s="2">
        <f>B58*C58</f>
        <v/>
      </c>
      <c r="E58" s="2">
        <f>E57+D58</f>
        <v/>
      </c>
    </row>
    <row r="59">
      <c r="A59" t="n">
        <v>57</v>
      </c>
      <c r="B59" s="2">
        <f>Premissas!B3*((1+Premissas!E3)^INT((57-1)/12))</f>
        <v/>
      </c>
      <c r="C59" s="9">
        <f>1/((1+Premissas!G3)^57)</f>
        <v/>
      </c>
      <c r="D59" s="2">
        <f>B59*C59</f>
        <v/>
      </c>
      <c r="E59" s="2">
        <f>E58+D59</f>
        <v/>
      </c>
    </row>
    <row r="60">
      <c r="A60" t="n">
        <v>58</v>
      </c>
      <c r="B60" s="2">
        <f>Premissas!B3*((1+Premissas!E3)^INT((58-1)/12))</f>
        <v/>
      </c>
      <c r="C60" s="9">
        <f>1/((1+Premissas!G3)^58)</f>
        <v/>
      </c>
      <c r="D60" s="2">
        <f>B60*C60</f>
        <v/>
      </c>
      <c r="E60" s="2">
        <f>E59+D60</f>
        <v/>
      </c>
    </row>
    <row r="61">
      <c r="A61" t="n">
        <v>59</v>
      </c>
      <c r="B61" s="2">
        <f>Premissas!B3*((1+Premissas!E3)^INT((59-1)/12))</f>
        <v/>
      </c>
      <c r="C61" s="9">
        <f>1/((1+Premissas!G3)^59)</f>
        <v/>
      </c>
      <c r="D61" s="2">
        <f>B61*C61</f>
        <v/>
      </c>
      <c r="E61" s="2">
        <f>E60+D61</f>
        <v/>
      </c>
    </row>
    <row r="62">
      <c r="A62" t="n">
        <v>60</v>
      </c>
      <c r="B62" s="2">
        <f>Premissas!B3*((1+Premissas!E3)^INT((60-1)/12))</f>
        <v/>
      </c>
      <c r="C62" s="9">
        <f>1/((1+Premissas!G3)^60)</f>
        <v/>
      </c>
      <c r="D62" s="2">
        <f>B62*C62</f>
        <v/>
      </c>
      <c r="E62" s="2">
        <f>E61+D62</f>
        <v/>
      </c>
    </row>
    <row r="64">
      <c r="A64" s="10" t="inlineStr">
        <is>
          <t>Indicadores (Cenário Base)</t>
        </is>
      </c>
    </row>
    <row r="65">
      <c r="A65" s="10" t="inlineStr">
        <is>
          <t>VPL (Valor Presente Líquido)</t>
        </is>
      </c>
      <c r="B65" s="2">
        <f>SUM(D2:D62)</f>
        <v/>
      </c>
    </row>
    <row r="66">
      <c r="A66" s="10" t="inlineStr">
        <is>
          <t>TIR Mensal</t>
        </is>
      </c>
      <c r="B66" s="11">
        <f>IRR(B2:B62)</f>
        <v/>
      </c>
    </row>
    <row r="67">
      <c r="A67" s="10" t="inlineStr">
        <is>
          <t>TIR Anual Equivalente</t>
        </is>
      </c>
      <c r="B67" s="11">
        <f>(1+B66)^12-1</f>
        <v/>
      </c>
    </row>
    <row r="68">
      <c r="A68" s="10" t="inlineStr">
        <is>
          <t>Payback Descontado (mês em que VP acumulado vira positivo)</t>
        </is>
      </c>
      <c r="B68">
        <f>MATCH(TRUE,INDEX(E3:E62&gt;0,0),0)</f>
        <v/>
      </c>
    </row>
    <row r="69">
      <c r="A69" s="10" t="inlineStr">
        <is>
          <t>Lucro Total Nominal (60 meses)</t>
        </is>
      </c>
      <c r="B69" s="2">
        <f>SUM(B3:B62)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2" t="inlineStr">
        <is>
          <t>Sensibilidade VPL (Cenário Base) — TMA × Crescimento Real</t>
        </is>
      </c>
    </row>
    <row r="2">
      <c r="A2" s="13" t="inlineStr">
        <is>
          <t>Variando TMA nas linhas, Crescimento Real nas colunas</t>
        </is>
      </c>
    </row>
    <row r="4">
      <c r="A4" s="1" t="inlineStr">
        <is>
          <t>TMA \ Cresc.Real</t>
        </is>
      </c>
      <c r="B4" s="14" t="n">
        <v>-0.02</v>
      </c>
      <c r="C4" s="14" t="n">
        <v>0</v>
      </c>
      <c r="D4" s="14" t="n">
        <v>0.03</v>
      </c>
      <c r="E4" s="14" t="n">
        <v>0.05</v>
      </c>
      <c r="F4" s="14" t="n">
        <v>0.08</v>
      </c>
    </row>
    <row r="5">
      <c r="A5" s="3" t="n">
        <v>0.13</v>
      </c>
      <c r="B5" s="15" t="n">
        <v>143402.58</v>
      </c>
      <c r="C5" s="15" t="n">
        <v>155477.83</v>
      </c>
      <c r="D5" s="15" t="n">
        <v>174479</v>
      </c>
      <c r="E5" s="15" t="n">
        <v>187758.98</v>
      </c>
      <c r="F5" s="15" t="n">
        <v>208633.27</v>
      </c>
    </row>
    <row r="6">
      <c r="A6" s="3" t="n">
        <v>0.16</v>
      </c>
      <c r="B6" s="15" t="n">
        <v>124494.3</v>
      </c>
      <c r="C6" s="15" t="n">
        <v>135534.21</v>
      </c>
      <c r="D6" s="15" t="n">
        <v>152894.22</v>
      </c>
      <c r="E6" s="15" t="n">
        <v>165019.17</v>
      </c>
      <c r="F6" s="15" t="n">
        <v>184065.73</v>
      </c>
    </row>
    <row r="7">
      <c r="A7" s="3" t="n">
        <v>0.19</v>
      </c>
      <c r="B7" s="15" t="n">
        <v>107520</v>
      </c>
      <c r="C7" s="15" t="n">
        <v>117644.12</v>
      </c>
      <c r="D7" s="15" t="n">
        <v>133553.28</v>
      </c>
      <c r="E7" s="15" t="n">
        <v>144657.64</v>
      </c>
      <c r="F7" s="15" t="n">
        <v>162089.98</v>
      </c>
    </row>
    <row r="8">
      <c r="A8" s="3" t="n">
        <v>0.22</v>
      </c>
      <c r="B8" s="15" t="n">
        <v>92225.24000000001</v>
      </c>
      <c r="C8" s="15" t="n">
        <v>101536.37</v>
      </c>
      <c r="D8" s="15" t="n">
        <v>116158.17</v>
      </c>
      <c r="E8" s="15" t="n">
        <v>126357.4</v>
      </c>
      <c r="F8" s="15" t="n">
        <v>142358.83</v>
      </c>
    </row>
    <row r="9">
      <c r="A9" s="3" t="n">
        <v>0.25</v>
      </c>
      <c r="B9" s="15" t="n">
        <v>78395.36</v>
      </c>
      <c r="C9" s="15" t="n">
        <v>86982.21000000001</v>
      </c>
      <c r="D9" s="15" t="n">
        <v>100457.74</v>
      </c>
      <c r="E9" s="15" t="n">
        <v>109851.43</v>
      </c>
      <c r="F9" s="15" t="n">
        <v>124579.99</v>
      </c>
    </row>
    <row r="10">
      <c r="A10" s="3" t="n">
        <v>0.3</v>
      </c>
      <c r="B10" s="15" t="n">
        <v>58118.82</v>
      </c>
      <c r="C10" s="15" t="n">
        <v>65664.41</v>
      </c>
      <c r="D10" s="15" t="n">
        <v>77493.13</v>
      </c>
      <c r="E10" s="15" t="n">
        <v>85730.28</v>
      </c>
      <c r="F10" s="15" t="n">
        <v>98632.44</v>
      </c>
    </row>
    <row r="11">
      <c r="A11" s="3" t="n">
        <v>0.35</v>
      </c>
      <c r="B11" s="15" t="n">
        <v>40731.43</v>
      </c>
      <c r="C11" s="15" t="n">
        <v>47406.03</v>
      </c>
      <c r="D11" s="15" t="n">
        <v>57858.37</v>
      </c>
      <c r="E11" s="15" t="n">
        <v>65129.68</v>
      </c>
      <c r="F11" s="15" t="n">
        <v>76507.8</v>
      </c>
    </row>
    <row r="12">
      <c r="A12" s="3" t="n">
        <v>0.47</v>
      </c>
      <c r="B12" s="15" t="n">
        <v>7850.84</v>
      </c>
      <c r="C12" s="15" t="n">
        <v>12943.91</v>
      </c>
      <c r="D12" s="15" t="n">
        <v>20900.43</v>
      </c>
      <c r="E12" s="15" t="n">
        <v>26422.64</v>
      </c>
      <c r="F12" s="15" t="n">
        <v>35044.22</v>
      </c>
    </row>
    <row r="15">
      <c r="A15" s="10" t="inlineStr">
        <is>
          <t>Leitura</t>
        </is>
      </c>
    </row>
    <row r="16">
      <c r="A16" s="16" t="inlineStr">
        <is>
          <t>Verde = VPL &gt; 0 (investimento vale a pena nessa combinação).</t>
        </is>
      </c>
    </row>
    <row r="17">
      <c r="A17" s="16" t="inlineStr">
        <is>
          <t>Vermelho = VPL &lt; 0 (não vale a pena).</t>
        </is>
      </c>
    </row>
    <row r="18">
      <c r="A18" s="16" t="inlineStr">
        <is>
          <t>TMA de equilíbrio ≈ TIR. No cenário base (Cresc Real 3%, Infl 4%, Dist R$ 7k/mês), TIR ~47% a.a.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2026-06-30T19:39:56Z</dcterms:created>
  <dcterms:modified xmlns:dcterms="http://purl.org/dc/terms/" xmlns:xsi="http://www.w3.org/2001/XMLSchema-instance" xsi:type="dcterms:W3CDTF">2026-06-30T19:39:56Z</dcterms:modified>
</cp:coreProperties>
</file>