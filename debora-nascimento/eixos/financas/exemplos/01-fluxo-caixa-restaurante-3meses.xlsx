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uxo Diário" sheetId="1" state="visible" r:id="rId1"/>
    <sheet xmlns:r="http://schemas.openxmlformats.org/officeDocument/2006/relationships" name="Resumo Mens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_-&quot;R$&quot; * #,##0.00_-;[Red]-&quot;R$&quot; * #,##0.00_-;_-&quot;R$&quot; * &quot;-&quot;??_-;_-@_-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0" fontId="1" fillId="3" borderId="0" pivotButton="0" quotePrefix="0" xfId="0"/>
    <xf numFmtId="166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48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Data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Descrição</t>
        </is>
      </c>
      <c r="E1" s="1" t="inlineStr">
        <is>
          <t>Entrada R$</t>
        </is>
      </c>
      <c r="F1" s="1" t="inlineStr">
        <is>
          <t>Saída R$</t>
        </is>
      </c>
      <c r="G1" s="1" t="inlineStr">
        <is>
          <t>Saldo Acumulado R$</t>
        </is>
      </c>
    </row>
    <row r="2">
      <c r="A2" s="2" t="n">
        <v>46081</v>
      </c>
      <c r="B2" t="inlineStr">
        <is>
          <t>Fornecedor</t>
        </is>
      </c>
      <c r="C2" t="inlineStr">
        <is>
          <t>Bebidas</t>
        </is>
      </c>
      <c r="D2" t="inlineStr">
        <is>
          <t>Distribuidora Norte</t>
        </is>
      </c>
      <c r="E2" s="3" t="n"/>
      <c r="F2" s="3" t="n">
        <v>4247.26</v>
      </c>
      <c r="G2" s="3">
        <f>IFERROR(E2,0)-IFERROR(F2,0)</f>
        <v/>
      </c>
    </row>
    <row r="3">
      <c r="A3" s="2" t="n">
        <v>46082</v>
      </c>
      <c r="B3" t="inlineStr">
        <is>
          <t>Despesa variável</t>
        </is>
      </c>
      <c r="C3" t="inlineStr">
        <is>
          <t>Comissão</t>
        </is>
      </c>
      <c r="D3" t="inlineStr">
        <is>
          <t>Comissão garçom (dom)</t>
        </is>
      </c>
      <c r="E3" s="3" t="n"/>
      <c r="F3" s="3" t="n">
        <v>1114.42</v>
      </c>
      <c r="G3" s="3">
        <f>G2+IFERROR(E3,0)-IFERROR(F3,0)</f>
        <v/>
      </c>
    </row>
    <row r="4">
      <c r="A4" s="2" t="n">
        <v>46082</v>
      </c>
      <c r="B4" t="inlineStr">
        <is>
          <t>Receita</t>
        </is>
      </c>
      <c r="C4" t="inlineStr">
        <is>
          <t>Cartão crédito</t>
        </is>
      </c>
      <c r="D4" t="inlineStr">
        <is>
          <t>Vendas do dia (dom)</t>
        </is>
      </c>
      <c r="E4" s="3" t="n">
        <v>6838.71</v>
      </c>
      <c r="F4" s="3" t="n"/>
      <c r="G4" s="3">
        <f>G3+IFERROR(E4,0)-IFERROR(F4,0)</f>
        <v/>
      </c>
    </row>
    <row r="5">
      <c r="A5" s="2" t="n">
        <v>46082</v>
      </c>
      <c r="B5" t="inlineStr">
        <is>
          <t>Receita</t>
        </is>
      </c>
      <c r="C5" t="inlineStr">
        <is>
          <t>Cartão débito</t>
        </is>
      </c>
      <c r="D5" t="inlineStr">
        <is>
          <t>Vendas do dia (dom)</t>
        </is>
      </c>
      <c r="E5" s="3" t="n">
        <v>3343.37</v>
      </c>
      <c r="F5" s="3" t="n"/>
      <c r="G5" s="3">
        <f>G4+IFERROR(E5,0)-IFERROR(F5,0)</f>
        <v/>
      </c>
    </row>
    <row r="6">
      <c r="A6" s="2" t="n">
        <v>46082</v>
      </c>
      <c r="B6" t="inlineStr">
        <is>
          <t>Receita</t>
        </is>
      </c>
      <c r="C6" t="inlineStr">
        <is>
          <t>PIX</t>
        </is>
      </c>
      <c r="D6" t="inlineStr">
        <is>
          <t>Vendas do dia (dom)</t>
        </is>
      </c>
      <c r="E6" s="3" t="n">
        <v>2735.48</v>
      </c>
      <c r="F6" s="3" t="n"/>
      <c r="G6" s="3">
        <f>G5+IFERROR(E6,0)-IFERROR(F6,0)</f>
        <v/>
      </c>
    </row>
    <row r="7">
      <c r="A7" s="2" t="n">
        <v>46082</v>
      </c>
      <c r="B7" t="inlineStr">
        <is>
          <t>Receita</t>
        </is>
      </c>
      <c r="C7" t="inlineStr">
        <is>
          <t>Dinheiro</t>
        </is>
      </c>
      <c r="D7" t="inlineStr">
        <is>
          <t>Vendas do dia (dom)</t>
        </is>
      </c>
      <c r="E7" s="3" t="n">
        <v>759.86</v>
      </c>
      <c r="F7" s="3" t="n"/>
      <c r="G7" s="3">
        <f>G6+IFERROR(E7,0)-IFERROR(F7,0)</f>
        <v/>
      </c>
    </row>
    <row r="8">
      <c r="A8" s="2" t="n">
        <v>46083</v>
      </c>
      <c r="B8" t="inlineStr">
        <is>
          <t>Fornecedor</t>
        </is>
      </c>
      <c r="C8" t="inlineStr">
        <is>
          <t>Hortifruti</t>
        </is>
      </c>
      <c r="D8" t="inlineStr">
        <is>
          <t>Feira semanal — Ceasa</t>
        </is>
      </c>
      <c r="E8" s="3" t="n"/>
      <c r="F8" s="3" t="n">
        <v>1343.59</v>
      </c>
      <c r="G8" s="3">
        <f>G7+IFERROR(E8,0)-IFERROR(F8,0)</f>
        <v/>
      </c>
    </row>
    <row r="9">
      <c r="A9" s="2" t="n">
        <v>46083</v>
      </c>
      <c r="B9" t="inlineStr">
        <is>
          <t>Fornecedor</t>
        </is>
      </c>
      <c r="C9" t="inlineStr">
        <is>
          <t>Bebidas</t>
        </is>
      </c>
      <c r="D9" t="inlineStr">
        <is>
          <t>Distribuidora Norte</t>
        </is>
      </c>
      <c r="E9" s="3" t="n"/>
      <c r="F9" s="3" t="n">
        <v>4130.87</v>
      </c>
      <c r="G9" s="3">
        <f>G8+IFERROR(E9,0)-IFERROR(F9,0)</f>
        <v/>
      </c>
    </row>
    <row r="10">
      <c r="A10" s="2" t="n">
        <v>46083</v>
      </c>
      <c r="B10" t="inlineStr">
        <is>
          <t>Receita</t>
        </is>
      </c>
      <c r="C10" t="inlineStr">
        <is>
          <t>Cartão crédito</t>
        </is>
      </c>
      <c r="D10" t="inlineStr">
        <is>
          <t>Vendas do dia (seg)</t>
        </is>
      </c>
      <c r="E10" s="3" t="n">
        <v>1591.88</v>
      </c>
      <c r="F10" s="3" t="n"/>
      <c r="G10" s="3">
        <f>G9+IFERROR(E10,0)-IFERROR(F10,0)</f>
        <v/>
      </c>
    </row>
    <row r="11">
      <c r="A11" s="2" t="n">
        <v>46083</v>
      </c>
      <c r="B11" t="inlineStr">
        <is>
          <t>Receita</t>
        </is>
      </c>
      <c r="C11" t="inlineStr">
        <is>
          <t>Cartão débito</t>
        </is>
      </c>
      <c r="D11" t="inlineStr">
        <is>
          <t>Vendas do dia (seg)</t>
        </is>
      </c>
      <c r="E11" s="3" t="n">
        <v>778.25</v>
      </c>
      <c r="F11" s="3" t="n"/>
      <c r="G11" s="3">
        <f>G10+IFERROR(E11,0)-IFERROR(F11,0)</f>
        <v/>
      </c>
    </row>
    <row r="12">
      <c r="A12" s="2" t="n">
        <v>46083</v>
      </c>
      <c r="B12" t="inlineStr">
        <is>
          <t>Receita</t>
        </is>
      </c>
      <c r="C12" t="inlineStr">
        <is>
          <t>PIX</t>
        </is>
      </c>
      <c r="D12" t="inlineStr">
        <is>
          <t>Vendas do dia (seg)</t>
        </is>
      </c>
      <c r="E12" s="3" t="n">
        <v>636.75</v>
      </c>
      <c r="F12" s="3" t="n"/>
      <c r="G12" s="3">
        <f>G11+IFERROR(E12,0)-IFERROR(F12,0)</f>
        <v/>
      </c>
    </row>
    <row r="13">
      <c r="A13" s="2" t="n">
        <v>46083</v>
      </c>
      <c r="B13" t="inlineStr">
        <is>
          <t>Receita</t>
        </is>
      </c>
      <c r="C13" t="inlineStr">
        <is>
          <t>Dinheiro</t>
        </is>
      </c>
      <c r="D13" t="inlineStr">
        <is>
          <t>Vendas do dia (seg)</t>
        </is>
      </c>
      <c r="E13" s="3" t="n">
        <v>176.88</v>
      </c>
      <c r="F13" s="3" t="n"/>
      <c r="G13" s="3">
        <f>G12+IFERROR(E13,0)-IFERROR(F13,0)</f>
        <v/>
      </c>
    </row>
    <row r="14">
      <c r="A14" s="2" t="n">
        <v>46084</v>
      </c>
      <c r="B14" t="inlineStr">
        <is>
          <t>Fornecedor</t>
        </is>
      </c>
      <c r="C14" t="inlineStr">
        <is>
          <t>Cárneas</t>
        </is>
      </c>
      <c r="D14" t="inlineStr">
        <is>
          <t>Açougue Boi Forte</t>
        </is>
      </c>
      <c r="E14" s="3" t="n"/>
      <c r="F14" s="3" t="n">
        <v>2522.27</v>
      </c>
      <c r="G14" s="3">
        <f>G13+IFERROR(E14,0)-IFERROR(F14,0)</f>
        <v/>
      </c>
    </row>
    <row r="15">
      <c r="A15" s="2" t="n">
        <v>46084</v>
      </c>
      <c r="B15" t="inlineStr">
        <is>
          <t>Receita</t>
        </is>
      </c>
      <c r="C15" t="inlineStr">
        <is>
          <t>Cartão crédito</t>
        </is>
      </c>
      <c r="D15" t="inlineStr">
        <is>
          <t>Vendas do dia (ter)</t>
        </is>
      </c>
      <c r="E15" s="3" t="n">
        <v>2272.53</v>
      </c>
      <c r="F15" s="3" t="n"/>
      <c r="G15" s="3">
        <f>G14+IFERROR(E15,0)-IFERROR(F15,0)</f>
        <v/>
      </c>
    </row>
    <row r="16">
      <c r="A16" s="2" t="n">
        <v>46084</v>
      </c>
      <c r="B16" t="inlineStr">
        <is>
          <t>Receita</t>
        </is>
      </c>
      <c r="C16" t="inlineStr">
        <is>
          <t>Cartão débito</t>
        </is>
      </c>
      <c r="D16" t="inlineStr">
        <is>
          <t>Vendas do dia (ter)</t>
        </is>
      </c>
      <c r="E16" s="3" t="n">
        <v>1111.01</v>
      </c>
      <c r="F16" s="3" t="n"/>
      <c r="G16" s="3">
        <f>G15+IFERROR(E16,0)-IFERROR(F16,0)</f>
        <v/>
      </c>
    </row>
    <row r="17">
      <c r="A17" s="2" t="n">
        <v>46084</v>
      </c>
      <c r="B17" t="inlineStr">
        <is>
          <t>Receita</t>
        </is>
      </c>
      <c r="C17" t="inlineStr">
        <is>
          <t>PIX</t>
        </is>
      </c>
      <c r="D17" t="inlineStr">
        <is>
          <t>Vendas do dia (ter)</t>
        </is>
      </c>
      <c r="E17" s="3" t="n">
        <v>909.01</v>
      </c>
      <c r="F17" s="3" t="n"/>
      <c r="G17" s="3">
        <f>G16+IFERROR(E17,0)-IFERROR(F17,0)</f>
        <v/>
      </c>
    </row>
    <row r="18">
      <c r="A18" s="2" t="n">
        <v>46084</v>
      </c>
      <c r="B18" t="inlineStr">
        <is>
          <t>Receita</t>
        </is>
      </c>
      <c r="C18" t="inlineStr">
        <is>
          <t>Dinheiro</t>
        </is>
      </c>
      <c r="D18" t="inlineStr">
        <is>
          <t>Vendas do dia (ter)</t>
        </is>
      </c>
      <c r="E18" s="3" t="n">
        <v>252.5</v>
      </c>
      <c r="F18" s="3" t="n"/>
      <c r="G18" s="3">
        <f>G17+IFERROR(E18,0)-IFERROR(F18,0)</f>
        <v/>
      </c>
    </row>
    <row r="19">
      <c r="A19" s="2" t="n">
        <v>46084</v>
      </c>
      <c r="B19" t="inlineStr">
        <is>
          <t>Receita</t>
        </is>
      </c>
      <c r="C19" t="inlineStr">
        <is>
          <t>iFood</t>
        </is>
      </c>
      <c r="D19" t="inlineStr">
        <is>
          <t>Repasse semanal iFood</t>
        </is>
      </c>
      <c r="E19" s="3" t="n">
        <v>5946.42</v>
      </c>
      <c r="F19" s="3" t="n"/>
      <c r="G19" s="3">
        <f>G18+IFERROR(E19,0)-IFERROR(F19,0)</f>
        <v/>
      </c>
    </row>
    <row r="20">
      <c r="A20" s="2" t="n">
        <v>46085</v>
      </c>
      <c r="B20" t="inlineStr">
        <is>
          <t>Despesa fixa</t>
        </is>
      </c>
      <c r="C20" t="inlineStr">
        <is>
          <t>Outras operacionais</t>
        </is>
      </c>
      <c r="D20" t="inlineStr">
        <is>
          <t>Despesas operacionais diversas</t>
        </is>
      </c>
      <c r="E20" s="3" t="n"/>
      <c r="F20" s="3" t="n">
        <v>2884.58</v>
      </c>
      <c r="G20" s="3">
        <f>G19+IFERROR(E20,0)-IFERROR(F20,0)</f>
        <v/>
      </c>
    </row>
    <row r="21">
      <c r="A21" s="2" t="n">
        <v>46085</v>
      </c>
      <c r="B21" t="inlineStr">
        <is>
          <t>Fornecedor</t>
        </is>
      </c>
      <c r="C21" t="inlineStr">
        <is>
          <t>Hortifruti</t>
        </is>
      </c>
      <c r="D21" t="inlineStr">
        <is>
          <t>Reposição hortifruti</t>
        </is>
      </c>
      <c r="E21" s="3" t="n"/>
      <c r="F21" s="3" t="n">
        <v>1005</v>
      </c>
      <c r="G21" s="3">
        <f>G20+IFERROR(E21,0)-IFERROR(F21,0)</f>
        <v/>
      </c>
    </row>
    <row r="22">
      <c r="A22" s="2" t="n">
        <v>46085</v>
      </c>
      <c r="B22" t="inlineStr">
        <is>
          <t>Fornecedor</t>
        </is>
      </c>
      <c r="C22" t="inlineStr">
        <is>
          <t>Mercearia</t>
        </is>
      </c>
      <c r="D22" t="inlineStr">
        <is>
          <t>Atacado mercearia</t>
        </is>
      </c>
      <c r="E22" s="3" t="n"/>
      <c r="F22" s="3" t="n">
        <v>2003.58</v>
      </c>
      <c r="G22" s="3">
        <f>G21+IFERROR(E22,0)-IFERROR(F22,0)</f>
        <v/>
      </c>
    </row>
    <row r="23">
      <c r="A23" s="2" t="n">
        <v>46085</v>
      </c>
      <c r="B23" t="inlineStr">
        <is>
          <t>Receita</t>
        </is>
      </c>
      <c r="C23" t="inlineStr">
        <is>
          <t>Cartão crédito</t>
        </is>
      </c>
      <c r="D23" t="inlineStr">
        <is>
          <t>Vendas do dia (qua)</t>
        </is>
      </c>
      <c r="E23" s="3" t="n">
        <v>2687.82</v>
      </c>
      <c r="F23" s="3" t="n"/>
      <c r="G23" s="3">
        <f>G22+IFERROR(E23,0)-IFERROR(F23,0)</f>
        <v/>
      </c>
    </row>
    <row r="24">
      <c r="A24" s="2" t="n">
        <v>46085</v>
      </c>
      <c r="B24" t="inlineStr">
        <is>
          <t>Receita</t>
        </is>
      </c>
      <c r="C24" t="inlineStr">
        <is>
          <t>Cartão débito</t>
        </is>
      </c>
      <c r="D24" t="inlineStr">
        <is>
          <t>Vendas do dia (qua)</t>
        </is>
      </c>
      <c r="E24" s="3" t="n">
        <v>1314.05</v>
      </c>
      <c r="F24" s="3" t="n"/>
      <c r="G24" s="3">
        <f>G23+IFERROR(E24,0)-IFERROR(F24,0)</f>
        <v/>
      </c>
    </row>
    <row r="25">
      <c r="A25" s="2" t="n">
        <v>46085</v>
      </c>
      <c r="B25" t="inlineStr">
        <is>
          <t>Receita</t>
        </is>
      </c>
      <c r="C25" t="inlineStr">
        <is>
          <t>PIX</t>
        </is>
      </c>
      <c r="D25" t="inlineStr">
        <is>
          <t>Vendas do dia (qua)</t>
        </is>
      </c>
      <c r="E25" s="3" t="n">
        <v>1075.13</v>
      </c>
      <c r="F25" s="3" t="n"/>
      <c r="G25" s="3">
        <f>G24+IFERROR(E25,0)-IFERROR(F25,0)</f>
        <v/>
      </c>
    </row>
    <row r="26">
      <c r="A26" s="2" t="n">
        <v>46085</v>
      </c>
      <c r="B26" t="inlineStr">
        <is>
          <t>Receita</t>
        </is>
      </c>
      <c r="C26" t="inlineStr">
        <is>
          <t>Dinheiro</t>
        </is>
      </c>
      <c r="D26" t="inlineStr">
        <is>
          <t>Vendas do dia (qua)</t>
        </is>
      </c>
      <c r="E26" s="3" t="n">
        <v>298.65</v>
      </c>
      <c r="F26" s="3" t="n"/>
      <c r="G26" s="3">
        <f>G25+IFERROR(E26,0)-IFERROR(F26,0)</f>
        <v/>
      </c>
    </row>
    <row r="27">
      <c r="A27" s="2" t="n">
        <v>46086</v>
      </c>
      <c r="B27" t="inlineStr">
        <is>
          <t>Despesa fixa</t>
        </is>
      </c>
      <c r="C27" t="inlineStr">
        <is>
          <t>Aluguel</t>
        </is>
      </c>
      <c r="D27" t="inlineStr">
        <is>
          <t>Aluguel mar/2026</t>
        </is>
      </c>
      <c r="E27" s="3" t="n"/>
      <c r="F27" s="3" t="n">
        <v>18000</v>
      </c>
      <c r="G27" s="3">
        <f>G26+IFERROR(E27,0)-IFERROR(F27,0)</f>
        <v/>
      </c>
    </row>
    <row r="28">
      <c r="A28" s="2" t="n">
        <v>46086</v>
      </c>
      <c r="B28" t="inlineStr">
        <is>
          <t>Receita</t>
        </is>
      </c>
      <c r="C28" t="inlineStr">
        <is>
          <t>Cartão crédito</t>
        </is>
      </c>
      <c r="D28" t="inlineStr">
        <is>
          <t>Vendas do dia (qui)</t>
        </is>
      </c>
      <c r="E28" s="3" t="n">
        <v>3686.29</v>
      </c>
      <c r="F28" s="3" t="n"/>
      <c r="G28" s="3">
        <f>G27+IFERROR(E28,0)-IFERROR(F28,0)</f>
        <v/>
      </c>
    </row>
    <row r="29">
      <c r="A29" s="2" t="n">
        <v>46086</v>
      </c>
      <c r="B29" t="inlineStr">
        <is>
          <t>Receita</t>
        </is>
      </c>
      <c r="C29" t="inlineStr">
        <is>
          <t>Cartão débito</t>
        </is>
      </c>
      <c r="D29" t="inlineStr">
        <is>
          <t>Vendas do dia (qui)</t>
        </is>
      </c>
      <c r="E29" s="3" t="n">
        <v>1802.18</v>
      </c>
      <c r="F29" s="3" t="n"/>
      <c r="G29" s="3">
        <f>G28+IFERROR(E29,0)-IFERROR(F29,0)</f>
        <v/>
      </c>
    </row>
    <row r="30">
      <c r="A30" s="2" t="n">
        <v>46086</v>
      </c>
      <c r="B30" t="inlineStr">
        <is>
          <t>Receita</t>
        </is>
      </c>
      <c r="C30" t="inlineStr">
        <is>
          <t>PIX</t>
        </is>
      </c>
      <c r="D30" t="inlineStr">
        <is>
          <t>Vendas do dia (qui)</t>
        </is>
      </c>
      <c r="E30" s="3" t="n">
        <v>1474.51</v>
      </c>
      <c r="F30" s="3" t="n"/>
      <c r="G30" s="3">
        <f>G29+IFERROR(E30,0)-IFERROR(F30,0)</f>
        <v/>
      </c>
    </row>
    <row r="31">
      <c r="A31" s="2" t="n">
        <v>46086</v>
      </c>
      <c r="B31" t="inlineStr">
        <is>
          <t>Receita</t>
        </is>
      </c>
      <c r="C31" t="inlineStr">
        <is>
          <t>Dinheiro</t>
        </is>
      </c>
      <c r="D31" t="inlineStr">
        <is>
          <t>Vendas do dia (qui)</t>
        </is>
      </c>
      <c r="E31" s="3" t="n">
        <v>409.59</v>
      </c>
      <c r="F31" s="3" t="n"/>
      <c r="G31" s="3">
        <f>G30+IFERROR(E31,0)-IFERROR(F31,0)</f>
        <v/>
      </c>
    </row>
    <row r="32">
      <c r="A32" s="2" t="n">
        <v>46087</v>
      </c>
      <c r="B32" t="inlineStr">
        <is>
          <t>Fornecedor</t>
        </is>
      </c>
      <c r="C32" t="inlineStr">
        <is>
          <t>Cárneas</t>
        </is>
      </c>
      <c r="D32" t="inlineStr">
        <is>
          <t>Açougue Boi Forte</t>
        </is>
      </c>
      <c r="E32" s="3" t="n"/>
      <c r="F32" s="3" t="n">
        <v>2847.25</v>
      </c>
      <c r="G32" s="3">
        <f>G31+IFERROR(E32,0)-IFERROR(F32,0)</f>
        <v/>
      </c>
    </row>
    <row r="33">
      <c r="A33" s="2" t="n">
        <v>46087</v>
      </c>
      <c r="B33" t="inlineStr">
        <is>
          <t>Fornecedor</t>
        </is>
      </c>
      <c r="C33" t="inlineStr">
        <is>
          <t>Laticínios</t>
        </is>
      </c>
      <c r="D33" t="inlineStr">
        <is>
          <t>Laticínios semana</t>
        </is>
      </c>
      <c r="E33" s="3" t="n"/>
      <c r="F33" s="3" t="n">
        <v>1199.71</v>
      </c>
      <c r="G33" s="3">
        <f>G32+IFERROR(E33,0)-IFERROR(F33,0)</f>
        <v/>
      </c>
    </row>
    <row r="34">
      <c r="A34" s="2" t="n">
        <v>46087</v>
      </c>
      <c r="B34" t="inlineStr">
        <is>
          <t>Receita</t>
        </is>
      </c>
      <c r="C34" t="inlineStr">
        <is>
          <t>Cartão crédito</t>
        </is>
      </c>
      <c r="D34" t="inlineStr">
        <is>
          <t>Vendas do dia (sex)</t>
        </is>
      </c>
      <c r="E34" s="3" t="n">
        <v>5254.44</v>
      </c>
      <c r="F34" s="3" t="n"/>
      <c r="G34" s="3">
        <f>G33+IFERROR(E34,0)-IFERROR(F34,0)</f>
        <v/>
      </c>
    </row>
    <row r="35">
      <c r="A35" s="2" t="n">
        <v>46087</v>
      </c>
      <c r="B35" t="inlineStr">
        <is>
          <t>Receita</t>
        </is>
      </c>
      <c r="C35" t="inlineStr">
        <is>
          <t>Cartão débito</t>
        </is>
      </c>
      <c r="D35" t="inlineStr">
        <is>
          <t>Vendas do dia (sex)</t>
        </is>
      </c>
      <c r="E35" s="3" t="n">
        <v>2568.84</v>
      </c>
      <c r="F35" s="3" t="n"/>
      <c r="G35" s="3">
        <f>G34+IFERROR(E35,0)-IFERROR(F35,0)</f>
        <v/>
      </c>
    </row>
    <row r="36">
      <c r="A36" s="2" t="n">
        <v>46087</v>
      </c>
      <c r="B36" t="inlineStr">
        <is>
          <t>Receita</t>
        </is>
      </c>
      <c r="C36" t="inlineStr">
        <is>
          <t>PIX</t>
        </is>
      </c>
      <c r="D36" t="inlineStr">
        <is>
          <t>Vendas do dia (sex)</t>
        </is>
      </c>
      <c r="E36" s="3" t="n">
        <v>2101.78</v>
      </c>
      <c r="F36" s="3" t="n"/>
      <c r="G36" s="3">
        <f>G35+IFERROR(E36,0)-IFERROR(F36,0)</f>
        <v/>
      </c>
    </row>
    <row r="37">
      <c r="A37" s="2" t="n">
        <v>46087</v>
      </c>
      <c r="B37" t="inlineStr">
        <is>
          <t>Receita</t>
        </is>
      </c>
      <c r="C37" t="inlineStr">
        <is>
          <t>Dinheiro</t>
        </is>
      </c>
      <c r="D37" t="inlineStr">
        <is>
          <t>Vendas do dia (sex)</t>
        </is>
      </c>
      <c r="E37" s="3" t="n">
        <v>583.83</v>
      </c>
      <c r="F37" s="3" t="n"/>
      <c r="G37" s="3">
        <f>G36+IFERROR(E37,0)-IFERROR(F37,0)</f>
        <v/>
      </c>
    </row>
    <row r="38">
      <c r="A38" s="2" t="n">
        <v>46088</v>
      </c>
      <c r="B38" t="inlineStr">
        <is>
          <t>Despesa variável</t>
        </is>
      </c>
      <c r="C38" t="inlineStr">
        <is>
          <t>Comissão</t>
        </is>
      </c>
      <c r="D38" t="inlineStr">
        <is>
          <t>Comissão garçom (sáb)</t>
        </is>
      </c>
      <c r="E38" s="3" t="n"/>
      <c r="F38" s="3" t="n">
        <v>1139.25</v>
      </c>
      <c r="G38" s="3">
        <f>G37+IFERROR(E38,0)-IFERROR(F38,0)</f>
        <v/>
      </c>
    </row>
    <row r="39">
      <c r="A39" s="2" t="n">
        <v>46088</v>
      </c>
      <c r="B39" t="inlineStr">
        <is>
          <t>Receita</t>
        </is>
      </c>
      <c r="C39" t="inlineStr">
        <is>
          <t>Cartão crédito</t>
        </is>
      </c>
      <c r="D39" t="inlineStr">
        <is>
          <t>Vendas do dia (sáb)</t>
        </is>
      </c>
      <c r="E39" s="3" t="n">
        <v>6495.61</v>
      </c>
      <c r="F39" s="3" t="n"/>
      <c r="G39" s="3">
        <f>G38+IFERROR(E39,0)-IFERROR(F39,0)</f>
        <v/>
      </c>
    </row>
    <row r="40">
      <c r="A40" s="2" t="n">
        <v>46088</v>
      </c>
      <c r="B40" t="inlineStr">
        <is>
          <t>Receita</t>
        </is>
      </c>
      <c r="C40" t="inlineStr">
        <is>
          <t>Cartão débito</t>
        </is>
      </c>
      <c r="D40" t="inlineStr">
        <is>
          <t>Vendas do dia (sáb)</t>
        </is>
      </c>
      <c r="E40" s="3" t="n">
        <v>3175.63</v>
      </c>
      <c r="F40" s="3" t="n"/>
      <c r="G40" s="3">
        <f>G39+IFERROR(E40,0)-IFERROR(F40,0)</f>
        <v/>
      </c>
    </row>
    <row r="41">
      <c r="A41" s="2" t="n">
        <v>46088</v>
      </c>
      <c r="B41" t="inlineStr">
        <is>
          <t>Receita</t>
        </is>
      </c>
      <c r="C41" t="inlineStr">
        <is>
          <t>PIX</t>
        </is>
      </c>
      <c r="D41" t="inlineStr">
        <is>
          <t>Vendas do dia (sáb)</t>
        </is>
      </c>
      <c r="E41" s="3" t="n">
        <v>2598.24</v>
      </c>
      <c r="F41" s="3" t="n"/>
      <c r="G41" s="3">
        <f>G40+IFERROR(E41,0)-IFERROR(F41,0)</f>
        <v/>
      </c>
    </row>
    <row r="42">
      <c r="A42" s="2" t="n">
        <v>46088</v>
      </c>
      <c r="B42" t="inlineStr">
        <is>
          <t>Receita</t>
        </is>
      </c>
      <c r="C42" t="inlineStr">
        <is>
          <t>Dinheiro</t>
        </is>
      </c>
      <c r="D42" t="inlineStr">
        <is>
          <t>Vendas do dia (sáb)</t>
        </is>
      </c>
      <c r="E42" s="3" t="n">
        <v>721.73</v>
      </c>
      <c r="F42" s="3" t="n"/>
      <c r="G42" s="3">
        <f>G41+IFERROR(E42,0)-IFERROR(F42,0)</f>
        <v/>
      </c>
    </row>
    <row r="43">
      <c r="A43" s="2" t="n">
        <v>46089</v>
      </c>
      <c r="B43" t="inlineStr">
        <is>
          <t>Despesa variável</t>
        </is>
      </c>
      <c r="C43" t="inlineStr">
        <is>
          <t>Comissão</t>
        </is>
      </c>
      <c r="D43" t="inlineStr">
        <is>
          <t>Comissão garçom (dom)</t>
        </is>
      </c>
      <c r="E43" s="3" t="n"/>
      <c r="F43" s="3" t="n">
        <v>988.05</v>
      </c>
      <c r="G43" s="3">
        <f>G42+IFERROR(E43,0)-IFERROR(F43,0)</f>
        <v/>
      </c>
    </row>
    <row r="44">
      <c r="A44" s="2" t="n">
        <v>46089</v>
      </c>
      <c r="B44" t="inlineStr">
        <is>
          <t>Receita</t>
        </is>
      </c>
      <c r="C44" t="inlineStr">
        <is>
          <t>Cartão crédito</t>
        </is>
      </c>
      <c r="D44" t="inlineStr">
        <is>
          <t>Vendas do dia (dom)</t>
        </is>
      </c>
      <c r="E44" s="3" t="n">
        <v>6349.32</v>
      </c>
      <c r="F44" s="3" t="n"/>
      <c r="G44" s="3">
        <f>G43+IFERROR(E44,0)-IFERROR(F44,0)</f>
        <v/>
      </c>
    </row>
    <row r="45">
      <c r="A45" s="2" t="n">
        <v>46089</v>
      </c>
      <c r="B45" t="inlineStr">
        <is>
          <t>Receita</t>
        </is>
      </c>
      <c r="C45" t="inlineStr">
        <is>
          <t>Cartão débito</t>
        </is>
      </c>
      <c r="D45" t="inlineStr">
        <is>
          <t>Vendas do dia (dom)</t>
        </is>
      </c>
      <c r="E45" s="3" t="n">
        <v>3104.11</v>
      </c>
      <c r="F45" s="3" t="n"/>
      <c r="G45" s="3">
        <f>G44+IFERROR(E45,0)-IFERROR(F45,0)</f>
        <v/>
      </c>
    </row>
    <row r="46">
      <c r="A46" s="2" t="n">
        <v>46089</v>
      </c>
      <c r="B46" t="inlineStr">
        <is>
          <t>Receita</t>
        </is>
      </c>
      <c r="C46" t="inlineStr">
        <is>
          <t>PIX</t>
        </is>
      </c>
      <c r="D46" t="inlineStr">
        <is>
          <t>Vendas do dia (dom)</t>
        </is>
      </c>
      <c r="E46" s="3" t="n">
        <v>2539.73</v>
      </c>
      <c r="F46" s="3" t="n"/>
      <c r="G46" s="3">
        <f>G45+IFERROR(E46,0)-IFERROR(F46,0)</f>
        <v/>
      </c>
    </row>
    <row r="47">
      <c r="A47" s="2" t="n">
        <v>46089</v>
      </c>
      <c r="B47" t="inlineStr">
        <is>
          <t>Receita</t>
        </is>
      </c>
      <c r="C47" t="inlineStr">
        <is>
          <t>Dinheiro</t>
        </is>
      </c>
      <c r="D47" t="inlineStr">
        <is>
          <t>Vendas do dia (dom)</t>
        </is>
      </c>
      <c r="E47" s="3" t="n">
        <v>705.48</v>
      </c>
      <c r="F47" s="3" t="n"/>
      <c r="G47" s="3">
        <f>G46+IFERROR(E47,0)-IFERROR(F47,0)</f>
        <v/>
      </c>
    </row>
    <row r="48">
      <c r="A48" s="2" t="n">
        <v>46090</v>
      </c>
      <c r="B48" t="inlineStr">
        <is>
          <t>Fornecedor</t>
        </is>
      </c>
      <c r="C48" t="inlineStr">
        <is>
          <t>Hortifruti</t>
        </is>
      </c>
      <c r="D48" t="inlineStr">
        <is>
          <t>Feira semanal — Ceasa</t>
        </is>
      </c>
      <c r="E48" s="3" t="n"/>
      <c r="F48" s="3" t="n">
        <v>1411.45</v>
      </c>
      <c r="G48" s="3">
        <f>G47+IFERROR(E48,0)-IFERROR(F48,0)</f>
        <v/>
      </c>
    </row>
    <row r="49">
      <c r="A49" s="2" t="n">
        <v>46090</v>
      </c>
      <c r="B49" t="inlineStr">
        <is>
          <t>Fornecedor</t>
        </is>
      </c>
      <c r="C49" t="inlineStr">
        <is>
          <t>Bebidas</t>
        </is>
      </c>
      <c r="D49" t="inlineStr">
        <is>
          <t>Distribuidora Norte</t>
        </is>
      </c>
      <c r="E49" s="3" t="n"/>
      <c r="F49" s="3" t="n">
        <v>4349.23</v>
      </c>
      <c r="G49" s="3">
        <f>G48+IFERROR(E49,0)-IFERROR(F49,0)</f>
        <v/>
      </c>
    </row>
    <row r="50">
      <c r="A50" s="2" t="n">
        <v>46090</v>
      </c>
      <c r="B50" t="inlineStr">
        <is>
          <t>Receita</t>
        </is>
      </c>
      <c r="C50" t="inlineStr">
        <is>
          <t>Cartão crédito</t>
        </is>
      </c>
      <c r="D50" t="inlineStr">
        <is>
          <t>Vendas do dia (seg)</t>
        </is>
      </c>
      <c r="E50" s="3" t="n">
        <v>1595.11</v>
      </c>
      <c r="F50" s="3" t="n"/>
      <c r="G50" s="3">
        <f>G49+IFERROR(E50,0)-IFERROR(F50,0)</f>
        <v/>
      </c>
    </row>
    <row r="51">
      <c r="A51" s="2" t="n">
        <v>46090</v>
      </c>
      <c r="B51" t="inlineStr">
        <is>
          <t>Receita</t>
        </is>
      </c>
      <c r="C51" t="inlineStr">
        <is>
          <t>Cartão débito</t>
        </is>
      </c>
      <c r="D51" t="inlineStr">
        <is>
          <t>Vendas do dia (seg)</t>
        </is>
      </c>
      <c r="E51" s="3" t="n">
        <v>779.83</v>
      </c>
      <c r="F51" s="3" t="n"/>
      <c r="G51" s="3">
        <f>G50+IFERROR(E51,0)-IFERROR(F51,0)</f>
        <v/>
      </c>
    </row>
    <row r="52">
      <c r="A52" s="2" t="n">
        <v>46090</v>
      </c>
      <c r="B52" t="inlineStr">
        <is>
          <t>Receita</t>
        </is>
      </c>
      <c r="C52" t="inlineStr">
        <is>
          <t>PIX</t>
        </is>
      </c>
      <c r="D52" t="inlineStr">
        <is>
          <t>Vendas do dia (seg)</t>
        </is>
      </c>
      <c r="E52" s="3" t="n">
        <v>638.05</v>
      </c>
      <c r="F52" s="3" t="n"/>
      <c r="G52" s="3">
        <f>G51+IFERROR(E52,0)-IFERROR(F52,0)</f>
        <v/>
      </c>
    </row>
    <row r="53">
      <c r="A53" s="2" t="n">
        <v>46090</v>
      </c>
      <c r="B53" t="inlineStr">
        <is>
          <t>Receita</t>
        </is>
      </c>
      <c r="C53" t="inlineStr">
        <is>
          <t>Dinheiro</t>
        </is>
      </c>
      <c r="D53" t="inlineStr">
        <is>
          <t>Vendas do dia (seg)</t>
        </is>
      </c>
      <c r="E53" s="3" t="n">
        <v>177.23</v>
      </c>
      <c r="F53" s="3" t="n"/>
      <c r="G53" s="3">
        <f>G52+IFERROR(E53,0)-IFERROR(F53,0)</f>
        <v/>
      </c>
    </row>
    <row r="54">
      <c r="A54" s="2" t="n">
        <v>46091</v>
      </c>
      <c r="B54" t="inlineStr">
        <is>
          <t>Fornecedor</t>
        </is>
      </c>
      <c r="C54" t="inlineStr">
        <is>
          <t>Cárneas</t>
        </is>
      </c>
      <c r="D54" t="inlineStr">
        <is>
          <t>Açougue Boi Forte</t>
        </is>
      </c>
      <c r="E54" s="3" t="n"/>
      <c r="F54" s="3" t="n">
        <v>2824.28</v>
      </c>
      <c r="G54" s="3">
        <f>G53+IFERROR(E54,0)-IFERROR(F54,0)</f>
        <v/>
      </c>
    </row>
    <row r="55">
      <c r="A55" s="2" t="n">
        <v>46091</v>
      </c>
      <c r="B55" t="inlineStr">
        <is>
          <t>Receita</t>
        </is>
      </c>
      <c r="C55" t="inlineStr">
        <is>
          <t>Cartão crédito</t>
        </is>
      </c>
      <c r="D55" t="inlineStr">
        <is>
          <t>Vendas do dia (ter)</t>
        </is>
      </c>
      <c r="E55" s="3" t="n">
        <v>2221.77</v>
      </c>
      <c r="F55" s="3" t="n"/>
      <c r="G55" s="3">
        <f>G54+IFERROR(E55,0)-IFERROR(F55,0)</f>
        <v/>
      </c>
    </row>
    <row r="56">
      <c r="A56" s="2" t="n">
        <v>46091</v>
      </c>
      <c r="B56" t="inlineStr">
        <is>
          <t>Receita</t>
        </is>
      </c>
      <c r="C56" t="inlineStr">
        <is>
          <t>Cartão débito</t>
        </is>
      </c>
      <c r="D56" t="inlineStr">
        <is>
          <t>Vendas do dia (ter)</t>
        </is>
      </c>
      <c r="E56" s="3" t="n">
        <v>1086.2</v>
      </c>
      <c r="F56" s="3" t="n"/>
      <c r="G56" s="3">
        <f>G55+IFERROR(E56,0)-IFERROR(F56,0)</f>
        <v/>
      </c>
    </row>
    <row r="57">
      <c r="A57" s="2" t="n">
        <v>46091</v>
      </c>
      <c r="B57" t="inlineStr">
        <is>
          <t>Receita</t>
        </is>
      </c>
      <c r="C57" t="inlineStr">
        <is>
          <t>PIX</t>
        </is>
      </c>
      <c r="D57" t="inlineStr">
        <is>
          <t>Vendas do dia (ter)</t>
        </is>
      </c>
      <c r="E57" s="3" t="n">
        <v>888.71</v>
      </c>
      <c r="F57" s="3" t="n"/>
      <c r="G57" s="3">
        <f>G56+IFERROR(E57,0)-IFERROR(F57,0)</f>
        <v/>
      </c>
    </row>
    <row r="58">
      <c r="A58" s="2" t="n">
        <v>46091</v>
      </c>
      <c r="B58" t="inlineStr">
        <is>
          <t>Receita</t>
        </is>
      </c>
      <c r="C58" t="inlineStr">
        <is>
          <t>Dinheiro</t>
        </is>
      </c>
      <c r="D58" t="inlineStr">
        <is>
          <t>Vendas do dia (ter)</t>
        </is>
      </c>
      <c r="E58" s="3" t="n">
        <v>246.86</v>
      </c>
      <c r="F58" s="3" t="n"/>
      <c r="G58" s="3">
        <f>G57+IFERROR(E58,0)-IFERROR(F58,0)</f>
        <v/>
      </c>
    </row>
    <row r="59">
      <c r="A59" s="2" t="n">
        <v>46091</v>
      </c>
      <c r="B59" t="inlineStr">
        <is>
          <t>Receita</t>
        </is>
      </c>
      <c r="C59" t="inlineStr">
        <is>
          <t>iFood</t>
        </is>
      </c>
      <c r="D59" t="inlineStr">
        <is>
          <t>Repasse semanal iFood</t>
        </is>
      </c>
      <c r="E59" s="3" t="n">
        <v>6510.71</v>
      </c>
      <c r="F59" s="3" t="n"/>
      <c r="G59" s="3">
        <f>G58+IFERROR(E59,0)-IFERROR(F59,0)</f>
        <v/>
      </c>
    </row>
    <row r="60">
      <c r="A60" s="2" t="n">
        <v>46091</v>
      </c>
      <c r="B60" t="inlineStr">
        <is>
          <t>Sócios</t>
        </is>
      </c>
      <c r="C60" t="inlineStr">
        <is>
          <t>Pró-labore</t>
        </is>
      </c>
      <c r="D60" t="inlineStr">
        <is>
          <t>Sócio A — mar/2026</t>
        </is>
      </c>
      <c r="E60" s="3" t="n"/>
      <c r="F60" s="3" t="n">
        <v>8000</v>
      </c>
      <c r="G60" s="3">
        <f>G59+IFERROR(E60,0)-IFERROR(F60,0)</f>
        <v/>
      </c>
    </row>
    <row r="61">
      <c r="A61" s="2" t="n">
        <v>46091</v>
      </c>
      <c r="B61" t="inlineStr">
        <is>
          <t>Sócios</t>
        </is>
      </c>
      <c r="C61" t="inlineStr">
        <is>
          <t>Pró-labore</t>
        </is>
      </c>
      <c r="D61" t="inlineStr">
        <is>
          <t>Sócio B — mar/2026</t>
        </is>
      </c>
      <c r="E61" s="3" t="n"/>
      <c r="F61" s="3" t="n">
        <v>8000</v>
      </c>
      <c r="G61" s="3">
        <f>G60+IFERROR(E61,0)-IFERROR(F61,0)</f>
        <v/>
      </c>
    </row>
    <row r="62">
      <c r="A62" s="2" t="n">
        <v>46092</v>
      </c>
      <c r="B62" t="inlineStr">
        <is>
          <t>Despesa fixa</t>
        </is>
      </c>
      <c r="C62" t="inlineStr">
        <is>
          <t>Outras operacionais</t>
        </is>
      </c>
      <c r="D62" t="inlineStr">
        <is>
          <t>Despesas operacionais diversas</t>
        </is>
      </c>
      <c r="E62" s="3" t="n"/>
      <c r="F62" s="3" t="n">
        <v>1666.93</v>
      </c>
      <c r="G62" s="3">
        <f>G61+IFERROR(E62,0)-IFERROR(F62,0)</f>
        <v/>
      </c>
    </row>
    <row r="63">
      <c r="A63" s="2" t="n">
        <v>46092</v>
      </c>
      <c r="B63" t="inlineStr">
        <is>
          <t>Fornecedor</t>
        </is>
      </c>
      <c r="C63" t="inlineStr">
        <is>
          <t>Hortifruti</t>
        </is>
      </c>
      <c r="D63" t="inlineStr">
        <is>
          <t>Reposição hortifruti</t>
        </is>
      </c>
      <c r="E63" s="3" t="n"/>
      <c r="F63" s="3" t="n">
        <v>700.23</v>
      </c>
      <c r="G63" s="3">
        <f>G62+IFERROR(E63,0)-IFERROR(F63,0)</f>
        <v/>
      </c>
    </row>
    <row r="64">
      <c r="A64" s="2" t="n">
        <v>46092</v>
      </c>
      <c r="B64" t="inlineStr">
        <is>
          <t>Fornecedor</t>
        </is>
      </c>
      <c r="C64" t="inlineStr">
        <is>
          <t>Mercearia</t>
        </is>
      </c>
      <c r="D64" t="inlineStr">
        <is>
          <t>Atacado mercearia</t>
        </is>
      </c>
      <c r="E64" s="3" t="n"/>
      <c r="F64" s="3" t="n">
        <v>2317</v>
      </c>
      <c r="G64" s="3">
        <f>G63+IFERROR(E64,0)-IFERROR(F64,0)</f>
        <v/>
      </c>
    </row>
    <row r="65">
      <c r="A65" s="2" t="n">
        <v>46092</v>
      </c>
      <c r="B65" t="inlineStr">
        <is>
          <t>Receita</t>
        </is>
      </c>
      <c r="C65" t="inlineStr">
        <is>
          <t>Cartão crédito</t>
        </is>
      </c>
      <c r="D65" t="inlineStr">
        <is>
          <t>Vendas do dia (qua)</t>
        </is>
      </c>
      <c r="E65" s="3" t="n">
        <v>2048.88</v>
      </c>
      <c r="F65" s="3" t="n"/>
      <c r="G65" s="3">
        <f>G64+IFERROR(E65,0)-IFERROR(F65,0)</f>
        <v/>
      </c>
    </row>
    <row r="66">
      <c r="A66" s="2" t="n">
        <v>46092</v>
      </c>
      <c r="B66" t="inlineStr">
        <is>
          <t>Receita</t>
        </is>
      </c>
      <c r="C66" t="inlineStr">
        <is>
          <t>Cartão débito</t>
        </is>
      </c>
      <c r="D66" t="inlineStr">
        <is>
          <t>Vendas do dia (qua)</t>
        </is>
      </c>
      <c r="E66" s="3" t="n">
        <v>1001.68</v>
      </c>
      <c r="F66" s="3" t="n"/>
      <c r="G66" s="3">
        <f>G65+IFERROR(E66,0)-IFERROR(F66,0)</f>
        <v/>
      </c>
    </row>
    <row r="67">
      <c r="A67" s="2" t="n">
        <v>46092</v>
      </c>
      <c r="B67" t="inlineStr">
        <is>
          <t>Receita</t>
        </is>
      </c>
      <c r="C67" t="inlineStr">
        <is>
          <t>PIX</t>
        </is>
      </c>
      <c r="D67" t="inlineStr">
        <is>
          <t>Vendas do dia (qua)</t>
        </is>
      </c>
      <c r="E67" s="3" t="n">
        <v>819.55</v>
      </c>
      <c r="F67" s="3" t="n"/>
      <c r="G67" s="3">
        <f>G66+IFERROR(E67,0)-IFERROR(F67,0)</f>
        <v/>
      </c>
    </row>
    <row r="68">
      <c r="A68" s="2" t="n">
        <v>46092</v>
      </c>
      <c r="B68" t="inlineStr">
        <is>
          <t>Receita</t>
        </is>
      </c>
      <c r="C68" t="inlineStr">
        <is>
          <t>Dinheiro</t>
        </is>
      </c>
      <c r="D68" t="inlineStr">
        <is>
          <t>Vendas do dia (qua)</t>
        </is>
      </c>
      <c r="E68" s="3" t="n">
        <v>227.65</v>
      </c>
      <c r="F68" s="3" t="n"/>
      <c r="G68" s="3">
        <f>G67+IFERROR(E68,0)-IFERROR(F68,0)</f>
        <v/>
      </c>
    </row>
    <row r="69">
      <c r="A69" s="2" t="n">
        <v>46093</v>
      </c>
      <c r="B69" t="inlineStr">
        <is>
          <t>Despesa fixa</t>
        </is>
      </c>
      <c r="C69" t="inlineStr">
        <is>
          <t>Energia</t>
        </is>
      </c>
      <c r="D69" t="inlineStr">
        <is>
          <t>Enel — mar/2026</t>
        </is>
      </c>
      <c r="E69" s="3" t="n"/>
      <c r="F69" s="3" t="n">
        <v>3840</v>
      </c>
      <c r="G69" s="3">
        <f>G68+IFERROR(E69,0)-IFERROR(F69,0)</f>
        <v/>
      </c>
    </row>
    <row r="70">
      <c r="A70" s="2" t="n">
        <v>46093</v>
      </c>
      <c r="B70" t="inlineStr">
        <is>
          <t>Receita</t>
        </is>
      </c>
      <c r="C70" t="inlineStr">
        <is>
          <t>Cartão crédito</t>
        </is>
      </c>
      <c r="D70" t="inlineStr">
        <is>
          <t>Vendas do dia (qui)</t>
        </is>
      </c>
      <c r="E70" s="3" t="n">
        <v>3148.69</v>
      </c>
      <c r="F70" s="3" t="n"/>
      <c r="G70" s="3">
        <f>G69+IFERROR(E70,0)-IFERROR(F70,0)</f>
        <v/>
      </c>
    </row>
    <row r="71">
      <c r="A71" s="2" t="n">
        <v>46093</v>
      </c>
      <c r="B71" t="inlineStr">
        <is>
          <t>Receita</t>
        </is>
      </c>
      <c r="C71" t="inlineStr">
        <is>
          <t>Cartão débito</t>
        </is>
      </c>
      <c r="D71" t="inlineStr">
        <is>
          <t>Vendas do dia (qui)</t>
        </is>
      </c>
      <c r="E71" s="3" t="n">
        <v>1539.36</v>
      </c>
      <c r="F71" s="3" t="n"/>
      <c r="G71" s="3">
        <f>G70+IFERROR(E71,0)-IFERROR(F71,0)</f>
        <v/>
      </c>
    </row>
    <row r="72">
      <c r="A72" s="2" t="n">
        <v>46093</v>
      </c>
      <c r="B72" t="inlineStr">
        <is>
          <t>Receita</t>
        </is>
      </c>
      <c r="C72" t="inlineStr">
        <is>
          <t>PIX</t>
        </is>
      </c>
      <c r="D72" t="inlineStr">
        <is>
          <t>Vendas do dia (qui)</t>
        </is>
      </c>
      <c r="E72" s="3" t="n">
        <v>1259.48</v>
      </c>
      <c r="F72" s="3" t="n"/>
      <c r="G72" s="3">
        <f>G71+IFERROR(E72,0)-IFERROR(F72,0)</f>
        <v/>
      </c>
    </row>
    <row r="73">
      <c r="A73" s="2" t="n">
        <v>46093</v>
      </c>
      <c r="B73" t="inlineStr">
        <is>
          <t>Receita</t>
        </is>
      </c>
      <c r="C73" t="inlineStr">
        <is>
          <t>Dinheiro</t>
        </is>
      </c>
      <c r="D73" t="inlineStr">
        <is>
          <t>Vendas do dia (qui)</t>
        </is>
      </c>
      <c r="E73" s="3" t="n">
        <v>349.85</v>
      </c>
      <c r="F73" s="3" t="n"/>
      <c r="G73" s="3">
        <f>G72+IFERROR(E73,0)-IFERROR(F73,0)</f>
        <v/>
      </c>
    </row>
    <row r="74">
      <c r="A74" s="2" t="n">
        <v>46094</v>
      </c>
      <c r="B74" t="inlineStr">
        <is>
          <t>Despesa fixa</t>
        </is>
      </c>
      <c r="C74" t="inlineStr">
        <is>
          <t>Gás</t>
        </is>
      </c>
      <c r="D74" t="inlineStr">
        <is>
          <t>Recarga GLP</t>
        </is>
      </c>
      <c r="E74" s="3" t="n"/>
      <c r="F74" s="3" t="n">
        <v>980</v>
      </c>
      <c r="G74" s="3">
        <f>G73+IFERROR(E74,0)-IFERROR(F74,0)</f>
        <v/>
      </c>
    </row>
    <row r="75">
      <c r="A75" s="2" t="n">
        <v>46094</v>
      </c>
      <c r="B75" t="inlineStr">
        <is>
          <t>Fornecedor</t>
        </is>
      </c>
      <c r="C75" t="inlineStr">
        <is>
          <t>Cárneas</t>
        </is>
      </c>
      <c r="D75" t="inlineStr">
        <is>
          <t>Açougue Boi Forte</t>
        </is>
      </c>
      <c r="E75" s="3" t="n"/>
      <c r="F75" s="3" t="n">
        <v>2588.99</v>
      </c>
      <c r="G75" s="3">
        <f>G74+IFERROR(E75,0)-IFERROR(F75,0)</f>
        <v/>
      </c>
    </row>
    <row r="76">
      <c r="A76" s="2" t="n">
        <v>46094</v>
      </c>
      <c r="B76" t="inlineStr">
        <is>
          <t>Fornecedor</t>
        </is>
      </c>
      <c r="C76" t="inlineStr">
        <is>
          <t>Laticínios</t>
        </is>
      </c>
      <c r="D76" t="inlineStr">
        <is>
          <t>Laticínios semana</t>
        </is>
      </c>
      <c r="E76" s="3" t="n"/>
      <c r="F76" s="3" t="n">
        <v>1134.41</v>
      </c>
      <c r="G76" s="3">
        <f>G75+IFERROR(E76,0)-IFERROR(F76,0)</f>
        <v/>
      </c>
    </row>
    <row r="77">
      <c r="A77" s="2" t="n">
        <v>46094</v>
      </c>
      <c r="B77" t="inlineStr">
        <is>
          <t>Receita</t>
        </is>
      </c>
      <c r="C77" t="inlineStr">
        <is>
          <t>Cartão crédito</t>
        </is>
      </c>
      <c r="D77" t="inlineStr">
        <is>
          <t>Vendas do dia (sex)</t>
        </is>
      </c>
      <c r="E77" s="3" t="n">
        <v>4927.34</v>
      </c>
      <c r="F77" s="3" t="n"/>
      <c r="G77" s="3">
        <f>G76+IFERROR(E77,0)-IFERROR(F77,0)</f>
        <v/>
      </c>
    </row>
    <row r="78">
      <c r="A78" s="2" t="n">
        <v>46094</v>
      </c>
      <c r="B78" t="inlineStr">
        <is>
          <t>Receita</t>
        </is>
      </c>
      <c r="C78" t="inlineStr">
        <is>
          <t>Cartão débito</t>
        </is>
      </c>
      <c r="D78" t="inlineStr">
        <is>
          <t>Vendas do dia (sex)</t>
        </is>
      </c>
      <c r="E78" s="3" t="n">
        <v>2408.92</v>
      </c>
      <c r="F78" s="3" t="n"/>
      <c r="G78" s="3">
        <f>G77+IFERROR(E78,0)-IFERROR(F78,0)</f>
        <v/>
      </c>
    </row>
    <row r="79">
      <c r="A79" s="2" t="n">
        <v>46094</v>
      </c>
      <c r="B79" t="inlineStr">
        <is>
          <t>Receita</t>
        </is>
      </c>
      <c r="C79" t="inlineStr">
        <is>
          <t>PIX</t>
        </is>
      </c>
      <c r="D79" t="inlineStr">
        <is>
          <t>Vendas do dia (sex)</t>
        </is>
      </c>
      <c r="E79" s="3" t="n">
        <v>1970.94</v>
      </c>
      <c r="F79" s="3" t="n"/>
      <c r="G79" s="3">
        <f>G78+IFERROR(E79,0)-IFERROR(F79,0)</f>
        <v/>
      </c>
    </row>
    <row r="80">
      <c r="A80" s="2" t="n">
        <v>46094</v>
      </c>
      <c r="B80" t="inlineStr">
        <is>
          <t>Receita</t>
        </is>
      </c>
      <c r="C80" t="inlineStr">
        <is>
          <t>Dinheiro</t>
        </is>
      </c>
      <c r="D80" t="inlineStr">
        <is>
          <t>Vendas do dia (sex)</t>
        </is>
      </c>
      <c r="E80" s="3" t="n">
        <v>547.48</v>
      </c>
      <c r="F80" s="3" t="n"/>
      <c r="G80" s="3">
        <f>G79+IFERROR(E80,0)-IFERROR(F80,0)</f>
        <v/>
      </c>
    </row>
    <row r="81">
      <c r="A81" s="2" t="n">
        <v>46095</v>
      </c>
      <c r="B81" t="inlineStr">
        <is>
          <t>Despesa variável</t>
        </is>
      </c>
      <c r="C81" t="inlineStr">
        <is>
          <t>Comissão</t>
        </is>
      </c>
      <c r="D81" t="inlineStr">
        <is>
          <t>Comissão garçom (sáb)</t>
        </is>
      </c>
      <c r="E81" s="3" t="n"/>
      <c r="F81" s="3" t="n">
        <v>1315.06</v>
      </c>
      <c r="G81" s="3">
        <f>G80+IFERROR(E81,0)-IFERROR(F81,0)</f>
        <v/>
      </c>
    </row>
    <row r="82">
      <c r="A82" s="2" t="n">
        <v>46095</v>
      </c>
      <c r="B82" t="inlineStr">
        <is>
          <t>Fornecedor</t>
        </is>
      </c>
      <c r="C82" t="inlineStr">
        <is>
          <t>Descartáveis</t>
        </is>
      </c>
      <c r="D82" t="inlineStr">
        <is>
          <t>Embalagens Sul</t>
        </is>
      </c>
      <c r="E82" s="3" t="n"/>
      <c r="F82" s="3" t="n">
        <v>1420</v>
      </c>
      <c r="G82" s="3">
        <f>G81+IFERROR(E82,0)-IFERROR(F82,0)</f>
        <v/>
      </c>
    </row>
    <row r="83">
      <c r="A83" s="2" t="n">
        <v>46095</v>
      </c>
      <c r="B83" t="inlineStr">
        <is>
          <t>Fornecedor</t>
        </is>
      </c>
      <c r="C83" t="inlineStr">
        <is>
          <t>Descartáveis</t>
        </is>
      </c>
      <c r="D83" t="inlineStr">
        <is>
          <t>Embalagens Sul</t>
        </is>
      </c>
      <c r="E83" s="3" t="n"/>
      <c r="F83" s="3" t="n">
        <v>1420</v>
      </c>
      <c r="G83" s="3">
        <f>G82+IFERROR(E83,0)-IFERROR(F83,0)</f>
        <v/>
      </c>
    </row>
    <row r="84">
      <c r="A84" s="2" t="n">
        <v>46095</v>
      </c>
      <c r="B84" t="inlineStr">
        <is>
          <t>Receita</t>
        </is>
      </c>
      <c r="C84" t="inlineStr">
        <is>
          <t>Cartão crédito</t>
        </is>
      </c>
      <c r="D84" t="inlineStr">
        <is>
          <t>Vendas do dia (sáb)</t>
        </is>
      </c>
      <c r="E84" s="3" t="n">
        <v>7526.12</v>
      </c>
      <c r="F84" s="3" t="n"/>
      <c r="G84" s="3">
        <f>G83+IFERROR(E84,0)-IFERROR(F84,0)</f>
        <v/>
      </c>
    </row>
    <row r="85">
      <c r="A85" s="2" t="n">
        <v>46095</v>
      </c>
      <c r="B85" t="inlineStr">
        <is>
          <t>Receita</t>
        </is>
      </c>
      <c r="C85" t="inlineStr">
        <is>
          <t>Cartão débito</t>
        </is>
      </c>
      <c r="D85" t="inlineStr">
        <is>
          <t>Vendas do dia (sáb)</t>
        </is>
      </c>
      <c r="E85" s="3" t="n">
        <v>3679.44</v>
      </c>
      <c r="F85" s="3" t="n"/>
      <c r="G85" s="3">
        <f>G84+IFERROR(E85,0)-IFERROR(F85,0)</f>
        <v/>
      </c>
    </row>
    <row r="86">
      <c r="A86" s="2" t="n">
        <v>46095</v>
      </c>
      <c r="B86" t="inlineStr">
        <is>
          <t>Receita</t>
        </is>
      </c>
      <c r="C86" t="inlineStr">
        <is>
          <t>PIX</t>
        </is>
      </c>
      <c r="D86" t="inlineStr">
        <is>
          <t>Vendas do dia (sáb)</t>
        </is>
      </c>
      <c r="E86" s="3" t="n">
        <v>3010.45</v>
      </c>
      <c r="F86" s="3" t="n"/>
      <c r="G86" s="3">
        <f>G85+IFERROR(E86,0)-IFERROR(F86,0)</f>
        <v/>
      </c>
    </row>
    <row r="87">
      <c r="A87" s="2" t="n">
        <v>46095</v>
      </c>
      <c r="B87" t="inlineStr">
        <is>
          <t>Receita</t>
        </is>
      </c>
      <c r="C87" t="inlineStr">
        <is>
          <t>Dinheiro</t>
        </is>
      </c>
      <c r="D87" t="inlineStr">
        <is>
          <t>Vendas do dia (sáb)</t>
        </is>
      </c>
      <c r="E87" s="3" t="n">
        <v>836.24</v>
      </c>
      <c r="F87" s="3" t="n"/>
      <c r="G87" s="3">
        <f>G86+IFERROR(E87,0)-IFERROR(F87,0)</f>
        <v/>
      </c>
    </row>
    <row r="88">
      <c r="A88" s="2" t="n">
        <v>46096</v>
      </c>
      <c r="B88" t="inlineStr">
        <is>
          <t>Despesa fixa</t>
        </is>
      </c>
      <c r="C88" t="inlineStr">
        <is>
          <t>Folha</t>
        </is>
      </c>
      <c r="D88" t="inlineStr">
        <is>
          <t>Folha 1ª quinzena</t>
        </is>
      </c>
      <c r="E88" s="3" t="n"/>
      <c r="F88" s="3" t="n">
        <v>26180</v>
      </c>
      <c r="G88" s="3">
        <f>G87+IFERROR(E88,0)-IFERROR(F88,0)</f>
        <v/>
      </c>
    </row>
    <row r="89">
      <c r="A89" s="2" t="n">
        <v>46096</v>
      </c>
      <c r="B89" t="inlineStr">
        <is>
          <t>Despesa variável</t>
        </is>
      </c>
      <c r="C89" t="inlineStr">
        <is>
          <t>Comissão</t>
        </is>
      </c>
      <c r="D89" t="inlineStr">
        <is>
          <t>Comissão garçom (dom)</t>
        </is>
      </c>
      <c r="E89" s="3" t="n"/>
      <c r="F89" s="3" t="n">
        <v>1188.4</v>
      </c>
      <c r="G89" s="3">
        <f>G88+IFERROR(E89,0)-IFERROR(F89,0)</f>
        <v/>
      </c>
    </row>
    <row r="90">
      <c r="A90" s="2" t="n">
        <v>46096</v>
      </c>
      <c r="B90" t="inlineStr">
        <is>
          <t>Receita</t>
        </is>
      </c>
      <c r="C90" t="inlineStr">
        <is>
          <t>Cartão crédito</t>
        </is>
      </c>
      <c r="D90" t="inlineStr">
        <is>
          <t>Vendas do dia (dom)</t>
        </is>
      </c>
      <c r="E90" s="3" t="n">
        <v>5895.99</v>
      </c>
      <c r="F90" s="3" t="n"/>
      <c r="G90" s="3">
        <f>G89+IFERROR(E90,0)-IFERROR(F90,0)</f>
        <v/>
      </c>
    </row>
    <row r="91">
      <c r="A91" s="2" t="n">
        <v>46096</v>
      </c>
      <c r="B91" t="inlineStr">
        <is>
          <t>Receita</t>
        </is>
      </c>
      <c r="C91" t="inlineStr">
        <is>
          <t>Cartão débito</t>
        </is>
      </c>
      <c r="D91" t="inlineStr">
        <is>
          <t>Vendas do dia (dom)</t>
        </is>
      </c>
      <c r="E91" s="3" t="n">
        <v>2882.48</v>
      </c>
      <c r="F91" s="3" t="n"/>
      <c r="G91" s="3">
        <f>G90+IFERROR(E91,0)-IFERROR(F91,0)</f>
        <v/>
      </c>
    </row>
    <row r="92">
      <c r="A92" s="2" t="n">
        <v>46096</v>
      </c>
      <c r="B92" t="inlineStr">
        <is>
          <t>Receita</t>
        </is>
      </c>
      <c r="C92" t="inlineStr">
        <is>
          <t>PIX</t>
        </is>
      </c>
      <c r="D92" t="inlineStr">
        <is>
          <t>Vendas do dia (dom)</t>
        </is>
      </c>
      <c r="E92" s="3" t="n">
        <v>2358.4</v>
      </c>
      <c r="F92" s="3" t="n"/>
      <c r="G92" s="3">
        <f>G91+IFERROR(E92,0)-IFERROR(F92,0)</f>
        <v/>
      </c>
    </row>
    <row r="93">
      <c r="A93" s="2" t="n">
        <v>46096</v>
      </c>
      <c r="B93" t="inlineStr">
        <is>
          <t>Receita</t>
        </is>
      </c>
      <c r="C93" t="inlineStr">
        <is>
          <t>Dinheiro</t>
        </is>
      </c>
      <c r="D93" t="inlineStr">
        <is>
          <t>Vendas do dia (dom)</t>
        </is>
      </c>
      <c r="E93" s="3" t="n">
        <v>655.11</v>
      </c>
      <c r="F93" s="3" t="n"/>
      <c r="G93" s="3">
        <f>G92+IFERROR(E93,0)-IFERROR(F93,0)</f>
        <v/>
      </c>
    </row>
    <row r="94">
      <c r="A94" s="2" t="n">
        <v>46097</v>
      </c>
      <c r="B94" t="inlineStr">
        <is>
          <t>Fornecedor</t>
        </is>
      </c>
      <c r="C94" t="inlineStr">
        <is>
          <t>Hortifruti</t>
        </is>
      </c>
      <c r="D94" t="inlineStr">
        <is>
          <t>Feira semanal — Ceasa</t>
        </is>
      </c>
      <c r="E94" s="3" t="n"/>
      <c r="F94" s="3" t="n">
        <v>1107.79</v>
      </c>
      <c r="G94" s="3">
        <f>G93+IFERROR(E94,0)-IFERROR(F94,0)</f>
        <v/>
      </c>
    </row>
    <row r="95">
      <c r="A95" s="2" t="n">
        <v>46097</v>
      </c>
      <c r="B95" t="inlineStr">
        <is>
          <t>Fornecedor</t>
        </is>
      </c>
      <c r="C95" t="inlineStr">
        <is>
          <t>Bebidas</t>
        </is>
      </c>
      <c r="D95" t="inlineStr">
        <is>
          <t>Distribuidora Norte</t>
        </is>
      </c>
      <c r="E95" s="3" t="n"/>
      <c r="F95" s="3" t="n">
        <v>4365.25</v>
      </c>
      <c r="G95" s="3">
        <f>G94+IFERROR(E95,0)-IFERROR(F95,0)</f>
        <v/>
      </c>
    </row>
    <row r="96">
      <c r="A96" s="2" t="n">
        <v>46097</v>
      </c>
      <c r="B96" t="inlineStr">
        <is>
          <t>Receita</t>
        </is>
      </c>
      <c r="C96" t="inlineStr">
        <is>
          <t>Cartão crédito</t>
        </is>
      </c>
      <c r="D96" t="inlineStr">
        <is>
          <t>Vendas do dia (seg)</t>
        </is>
      </c>
      <c r="E96" s="3" t="n">
        <v>1972.75</v>
      </c>
      <c r="F96" s="3" t="n"/>
      <c r="G96" s="3">
        <f>G95+IFERROR(E96,0)-IFERROR(F96,0)</f>
        <v/>
      </c>
    </row>
    <row r="97">
      <c r="A97" s="2" t="n">
        <v>46097</v>
      </c>
      <c r="B97" t="inlineStr">
        <is>
          <t>Receita</t>
        </is>
      </c>
      <c r="C97" t="inlineStr">
        <is>
          <t>Cartão débito</t>
        </is>
      </c>
      <c r="D97" t="inlineStr">
        <is>
          <t>Vendas do dia (seg)</t>
        </is>
      </c>
      <c r="E97" s="3" t="n">
        <v>964.46</v>
      </c>
      <c r="F97" s="3" t="n"/>
      <c r="G97" s="3">
        <f>G96+IFERROR(E97,0)-IFERROR(F97,0)</f>
        <v/>
      </c>
    </row>
    <row r="98">
      <c r="A98" s="2" t="n">
        <v>46097</v>
      </c>
      <c r="B98" t="inlineStr">
        <is>
          <t>Receita</t>
        </is>
      </c>
      <c r="C98" t="inlineStr">
        <is>
          <t>PIX</t>
        </is>
      </c>
      <c r="D98" t="inlineStr">
        <is>
          <t>Vendas do dia (seg)</t>
        </is>
      </c>
      <c r="E98" s="3" t="n">
        <v>789.1</v>
      </c>
      <c r="F98" s="3" t="n"/>
      <c r="G98" s="3">
        <f>G97+IFERROR(E98,0)-IFERROR(F98,0)</f>
        <v/>
      </c>
    </row>
    <row r="99">
      <c r="A99" s="2" t="n">
        <v>46097</v>
      </c>
      <c r="B99" t="inlineStr">
        <is>
          <t>Receita</t>
        </is>
      </c>
      <c r="C99" t="inlineStr">
        <is>
          <t>Dinheiro</t>
        </is>
      </c>
      <c r="D99" t="inlineStr">
        <is>
          <t>Vendas do dia (seg)</t>
        </is>
      </c>
      <c r="E99" s="3" t="n">
        <v>219.19</v>
      </c>
      <c r="F99" s="3" t="n"/>
      <c r="G99" s="3">
        <f>G98+IFERROR(E99,0)-IFERROR(F99,0)</f>
        <v/>
      </c>
    </row>
    <row r="100">
      <c r="A100" s="2" t="n">
        <v>46098</v>
      </c>
      <c r="B100" t="inlineStr">
        <is>
          <t>Despesa variável</t>
        </is>
      </c>
      <c r="C100" t="inlineStr">
        <is>
          <t>Marketing</t>
        </is>
      </c>
      <c r="D100" t="inlineStr">
        <is>
          <t>Tráfego pago — Meta Ads</t>
        </is>
      </c>
      <c r="E100" s="3" t="n"/>
      <c r="F100" s="3" t="n">
        <v>1200</v>
      </c>
      <c r="G100" s="3">
        <f>G99+IFERROR(E100,0)-IFERROR(F100,0)</f>
        <v/>
      </c>
    </row>
    <row r="101">
      <c r="A101" s="2" t="n">
        <v>46098</v>
      </c>
      <c r="B101" t="inlineStr">
        <is>
          <t>Fornecedor</t>
        </is>
      </c>
      <c r="C101" t="inlineStr">
        <is>
          <t>Cárneas</t>
        </is>
      </c>
      <c r="D101" t="inlineStr">
        <is>
          <t>Açougue Boi Forte</t>
        </is>
      </c>
      <c r="E101" s="3" t="n"/>
      <c r="F101" s="3" t="n">
        <v>3143.28</v>
      </c>
      <c r="G101" s="3">
        <f>G100+IFERROR(E101,0)-IFERROR(F101,0)</f>
        <v/>
      </c>
    </row>
    <row r="102">
      <c r="A102" s="2" t="n">
        <v>46098</v>
      </c>
      <c r="B102" t="inlineStr">
        <is>
          <t>Receita</t>
        </is>
      </c>
      <c r="C102" t="inlineStr">
        <is>
          <t>Cartão crédito</t>
        </is>
      </c>
      <c r="D102" t="inlineStr">
        <is>
          <t>Vendas do dia (ter)</t>
        </is>
      </c>
      <c r="E102" s="3" t="n">
        <v>2753.49</v>
      </c>
      <c r="F102" s="3" t="n"/>
      <c r="G102" s="3">
        <f>G101+IFERROR(E102,0)-IFERROR(F102,0)</f>
        <v/>
      </c>
    </row>
    <row r="103">
      <c r="A103" s="2" t="n">
        <v>46098</v>
      </c>
      <c r="B103" t="inlineStr">
        <is>
          <t>Receita</t>
        </is>
      </c>
      <c r="C103" t="inlineStr">
        <is>
          <t>Cartão débito</t>
        </is>
      </c>
      <c r="D103" t="inlineStr">
        <is>
          <t>Vendas do dia (ter)</t>
        </is>
      </c>
      <c r="E103" s="3" t="n">
        <v>1346.15</v>
      </c>
      <c r="F103" s="3" t="n"/>
      <c r="G103" s="3">
        <f>G102+IFERROR(E103,0)-IFERROR(F103,0)</f>
        <v/>
      </c>
    </row>
    <row r="104">
      <c r="A104" s="2" t="n">
        <v>46098</v>
      </c>
      <c r="B104" t="inlineStr">
        <is>
          <t>Receita</t>
        </is>
      </c>
      <c r="C104" t="inlineStr">
        <is>
          <t>PIX</t>
        </is>
      </c>
      <c r="D104" t="inlineStr">
        <is>
          <t>Vendas do dia (ter)</t>
        </is>
      </c>
      <c r="E104" s="3" t="n">
        <v>1101.39</v>
      </c>
      <c r="F104" s="3" t="n"/>
      <c r="G104" s="3">
        <f>G103+IFERROR(E104,0)-IFERROR(F104,0)</f>
        <v/>
      </c>
    </row>
    <row r="105">
      <c r="A105" s="2" t="n">
        <v>46098</v>
      </c>
      <c r="B105" t="inlineStr">
        <is>
          <t>Receita</t>
        </is>
      </c>
      <c r="C105" t="inlineStr">
        <is>
          <t>Dinheiro</t>
        </is>
      </c>
      <c r="D105" t="inlineStr">
        <is>
          <t>Vendas do dia (ter)</t>
        </is>
      </c>
      <c r="E105" s="3" t="n">
        <v>305.94</v>
      </c>
      <c r="F105" s="3" t="n"/>
      <c r="G105" s="3">
        <f>G104+IFERROR(E105,0)-IFERROR(F105,0)</f>
        <v/>
      </c>
    </row>
    <row r="106">
      <c r="A106" s="2" t="n">
        <v>46098</v>
      </c>
      <c r="B106" t="inlineStr">
        <is>
          <t>Receita</t>
        </is>
      </c>
      <c r="C106" t="inlineStr">
        <is>
          <t>iFood</t>
        </is>
      </c>
      <c r="D106" t="inlineStr">
        <is>
          <t>Repasse semanal iFood</t>
        </is>
      </c>
      <c r="E106" s="3" t="n">
        <v>5513</v>
      </c>
      <c r="F106" s="3" t="n"/>
      <c r="G106" s="3">
        <f>G105+IFERROR(E106,0)-IFERROR(F106,0)</f>
        <v/>
      </c>
    </row>
    <row r="107">
      <c r="A107" s="2" t="n">
        <v>46099</v>
      </c>
      <c r="B107" t="inlineStr">
        <is>
          <t>Despesa fixa</t>
        </is>
      </c>
      <c r="C107" t="inlineStr">
        <is>
          <t>Outras operacionais</t>
        </is>
      </c>
      <c r="D107" t="inlineStr">
        <is>
          <t>Despesas operacionais diversas</t>
        </is>
      </c>
      <c r="E107" s="3" t="n"/>
      <c r="F107" s="3" t="n">
        <v>3360.86</v>
      </c>
      <c r="G107" s="3">
        <f>G106+IFERROR(E107,0)-IFERROR(F107,0)</f>
        <v/>
      </c>
    </row>
    <row r="108">
      <c r="A108" s="2" t="n">
        <v>46099</v>
      </c>
      <c r="B108" t="inlineStr">
        <is>
          <t>Fornecedor</t>
        </is>
      </c>
      <c r="C108" t="inlineStr">
        <is>
          <t>Hortifruti</t>
        </is>
      </c>
      <c r="D108" t="inlineStr">
        <is>
          <t>Reposição hortifruti</t>
        </is>
      </c>
      <c r="E108" s="3" t="n"/>
      <c r="F108" s="3" t="n">
        <v>1051.49</v>
      </c>
      <c r="G108" s="3">
        <f>G107+IFERROR(E108,0)-IFERROR(F108,0)</f>
        <v/>
      </c>
    </row>
    <row r="109">
      <c r="A109" s="2" t="n">
        <v>46099</v>
      </c>
      <c r="B109" t="inlineStr">
        <is>
          <t>Fornecedor</t>
        </is>
      </c>
      <c r="C109" t="inlineStr">
        <is>
          <t>Mercearia</t>
        </is>
      </c>
      <c r="D109" t="inlineStr">
        <is>
          <t>Atacado mercearia</t>
        </is>
      </c>
      <c r="E109" s="3" t="n"/>
      <c r="F109" s="3" t="n">
        <v>1949.19</v>
      </c>
      <c r="G109" s="3">
        <f>G108+IFERROR(E109,0)-IFERROR(F109,0)</f>
        <v/>
      </c>
    </row>
    <row r="110">
      <c r="A110" s="2" t="n">
        <v>46099</v>
      </c>
      <c r="B110" t="inlineStr">
        <is>
          <t>Receita</t>
        </is>
      </c>
      <c r="C110" t="inlineStr">
        <is>
          <t>Cartão crédito</t>
        </is>
      </c>
      <c r="D110" t="inlineStr">
        <is>
          <t>Vendas do dia (qua)</t>
        </is>
      </c>
      <c r="E110" s="3" t="n">
        <v>2750.24</v>
      </c>
      <c r="F110" s="3" t="n"/>
      <c r="G110" s="3">
        <f>G109+IFERROR(E110,0)-IFERROR(F110,0)</f>
        <v/>
      </c>
    </row>
    <row r="111">
      <c r="A111" s="2" t="n">
        <v>46099</v>
      </c>
      <c r="B111" t="inlineStr">
        <is>
          <t>Receita</t>
        </is>
      </c>
      <c r="C111" t="inlineStr">
        <is>
          <t>Cartão débito</t>
        </is>
      </c>
      <c r="D111" t="inlineStr">
        <is>
          <t>Vendas do dia (qua)</t>
        </is>
      </c>
      <c r="E111" s="3" t="n">
        <v>1344.56</v>
      </c>
      <c r="F111" s="3" t="n"/>
      <c r="G111" s="3">
        <f>G110+IFERROR(E111,0)-IFERROR(F111,0)</f>
        <v/>
      </c>
    </row>
    <row r="112">
      <c r="A112" s="2" t="n">
        <v>46099</v>
      </c>
      <c r="B112" t="inlineStr">
        <is>
          <t>Receita</t>
        </is>
      </c>
      <c r="C112" t="inlineStr">
        <is>
          <t>PIX</t>
        </is>
      </c>
      <c r="D112" t="inlineStr">
        <is>
          <t>Vendas do dia (qua)</t>
        </is>
      </c>
      <c r="E112" s="3" t="n">
        <v>1100.09</v>
      </c>
      <c r="F112" s="3" t="n"/>
      <c r="G112" s="3">
        <f>G111+IFERROR(E112,0)-IFERROR(F112,0)</f>
        <v/>
      </c>
    </row>
    <row r="113">
      <c r="A113" s="2" t="n">
        <v>46099</v>
      </c>
      <c r="B113" t="inlineStr">
        <is>
          <t>Receita</t>
        </is>
      </c>
      <c r="C113" t="inlineStr">
        <is>
          <t>Dinheiro</t>
        </is>
      </c>
      <c r="D113" t="inlineStr">
        <is>
          <t>Vendas do dia (qua)</t>
        </is>
      </c>
      <c r="E113" s="3" t="n">
        <v>305.58</v>
      </c>
      <c r="F113" s="3" t="n"/>
      <c r="G113" s="3">
        <f>G112+IFERROR(E113,0)-IFERROR(F113,0)</f>
        <v/>
      </c>
    </row>
    <row r="114">
      <c r="A114" s="2" t="n">
        <v>46100</v>
      </c>
      <c r="B114" t="inlineStr">
        <is>
          <t>Despesa variável</t>
        </is>
      </c>
      <c r="C114" t="inlineStr">
        <is>
          <t>Taxa cartão</t>
        </is>
      </c>
      <c r="D114" t="inlineStr">
        <is>
          <t>Adquirente — taxa mar</t>
        </is>
      </c>
      <c r="E114" s="3" t="n"/>
      <c r="F114" s="3" t="n">
        <v>4260</v>
      </c>
      <c r="G114" s="3">
        <f>G113+IFERROR(E114,0)-IFERROR(F114,0)</f>
        <v/>
      </c>
    </row>
    <row r="115">
      <c r="A115" s="2" t="n">
        <v>46100</v>
      </c>
      <c r="B115" t="inlineStr">
        <is>
          <t>Receita</t>
        </is>
      </c>
      <c r="C115" t="inlineStr">
        <is>
          <t>Cartão crédito</t>
        </is>
      </c>
      <c r="D115" t="inlineStr">
        <is>
          <t>Vendas do dia (qui)</t>
        </is>
      </c>
      <c r="E115" s="3" t="n">
        <v>3710.41</v>
      </c>
      <c r="F115" s="3" t="n"/>
      <c r="G115" s="3">
        <f>G114+IFERROR(E115,0)-IFERROR(F115,0)</f>
        <v/>
      </c>
    </row>
    <row r="116">
      <c r="A116" s="2" t="n">
        <v>46100</v>
      </c>
      <c r="B116" t="inlineStr">
        <is>
          <t>Receita</t>
        </is>
      </c>
      <c r="C116" t="inlineStr">
        <is>
          <t>Cartão débito</t>
        </is>
      </c>
      <c r="D116" t="inlineStr">
        <is>
          <t>Vendas do dia (qui)</t>
        </is>
      </c>
      <c r="E116" s="3" t="n">
        <v>1813.98</v>
      </c>
      <c r="F116" s="3" t="n"/>
      <c r="G116" s="3">
        <f>G115+IFERROR(E116,0)-IFERROR(F116,0)</f>
        <v/>
      </c>
    </row>
    <row r="117">
      <c r="A117" s="2" t="n">
        <v>46100</v>
      </c>
      <c r="B117" t="inlineStr">
        <is>
          <t>Receita</t>
        </is>
      </c>
      <c r="C117" t="inlineStr">
        <is>
          <t>PIX</t>
        </is>
      </c>
      <c r="D117" t="inlineStr">
        <is>
          <t>Vendas do dia (qui)</t>
        </is>
      </c>
      <c r="E117" s="3" t="n">
        <v>1484.16</v>
      </c>
      <c r="F117" s="3" t="n"/>
      <c r="G117" s="3">
        <f>G116+IFERROR(E117,0)-IFERROR(F117,0)</f>
        <v/>
      </c>
    </row>
    <row r="118">
      <c r="A118" s="2" t="n">
        <v>46100</v>
      </c>
      <c r="B118" t="inlineStr">
        <is>
          <t>Receita</t>
        </is>
      </c>
      <c r="C118" t="inlineStr">
        <is>
          <t>Dinheiro</t>
        </is>
      </c>
      <c r="D118" t="inlineStr">
        <is>
          <t>Vendas do dia (qui)</t>
        </is>
      </c>
      <c r="E118" s="3" t="n">
        <v>412.27</v>
      </c>
      <c r="F118" s="3" t="n"/>
      <c r="G118" s="3">
        <f>G117+IFERROR(E118,0)-IFERROR(F118,0)</f>
        <v/>
      </c>
    </row>
    <row r="119">
      <c r="A119" s="2" t="n">
        <v>46101</v>
      </c>
      <c r="B119" t="inlineStr">
        <is>
          <t>Fornecedor</t>
        </is>
      </c>
      <c r="C119" t="inlineStr">
        <is>
          <t>Cárneas</t>
        </is>
      </c>
      <c r="D119" t="inlineStr">
        <is>
          <t>Açougue Boi Forte</t>
        </is>
      </c>
      <c r="E119" s="3" t="n"/>
      <c r="F119" s="3" t="n">
        <v>3198</v>
      </c>
      <c r="G119" s="3">
        <f>G118+IFERROR(E119,0)-IFERROR(F119,0)</f>
        <v/>
      </c>
    </row>
    <row r="120">
      <c r="A120" s="2" t="n">
        <v>46101</v>
      </c>
      <c r="B120" t="inlineStr">
        <is>
          <t>Fornecedor</t>
        </is>
      </c>
      <c r="C120" t="inlineStr">
        <is>
          <t>Laticínios</t>
        </is>
      </c>
      <c r="D120" t="inlineStr">
        <is>
          <t>Laticínios semana</t>
        </is>
      </c>
      <c r="E120" s="3" t="n"/>
      <c r="F120" s="3" t="n">
        <v>1187.6</v>
      </c>
      <c r="G120" s="3">
        <f>G119+IFERROR(E120,0)-IFERROR(F120,0)</f>
        <v/>
      </c>
    </row>
    <row r="121">
      <c r="A121" s="2" t="n">
        <v>46101</v>
      </c>
      <c r="B121" t="inlineStr">
        <is>
          <t>Imposto</t>
        </is>
      </c>
      <c r="C121" t="inlineStr">
        <is>
          <t>DAS Simples</t>
        </is>
      </c>
      <c r="D121" t="inlineStr">
        <is>
          <t>DAS competência mar</t>
        </is>
      </c>
      <c r="E121" s="3" t="n"/>
      <c r="F121" s="3" t="n">
        <v>14820</v>
      </c>
      <c r="G121" s="3">
        <f>G120+IFERROR(E121,0)-IFERROR(F121,0)</f>
        <v/>
      </c>
    </row>
    <row r="122">
      <c r="A122" s="2" t="n">
        <v>46101</v>
      </c>
      <c r="B122" t="inlineStr">
        <is>
          <t>Receita</t>
        </is>
      </c>
      <c r="C122" t="inlineStr">
        <is>
          <t>Cartão crédito</t>
        </is>
      </c>
      <c r="D122" t="inlineStr">
        <is>
          <t>Vendas do dia (sex)</t>
        </is>
      </c>
      <c r="E122" s="3" t="n">
        <v>4509.34</v>
      </c>
      <c r="F122" s="3" t="n"/>
      <c r="G122" s="3">
        <f>G121+IFERROR(E122,0)-IFERROR(F122,0)</f>
        <v/>
      </c>
    </row>
    <row r="123">
      <c r="A123" s="2" t="n">
        <v>46101</v>
      </c>
      <c r="B123" t="inlineStr">
        <is>
          <t>Receita</t>
        </is>
      </c>
      <c r="C123" t="inlineStr">
        <is>
          <t>Cartão débito</t>
        </is>
      </c>
      <c r="D123" t="inlineStr">
        <is>
          <t>Vendas do dia (sex)</t>
        </is>
      </c>
      <c r="E123" s="3" t="n">
        <v>2204.57</v>
      </c>
      <c r="F123" s="3" t="n"/>
      <c r="G123" s="3">
        <f>G122+IFERROR(E123,0)-IFERROR(F123,0)</f>
        <v/>
      </c>
    </row>
    <row r="124">
      <c r="A124" s="2" t="n">
        <v>46101</v>
      </c>
      <c r="B124" t="inlineStr">
        <is>
          <t>Receita</t>
        </is>
      </c>
      <c r="C124" t="inlineStr">
        <is>
          <t>PIX</t>
        </is>
      </c>
      <c r="D124" t="inlineStr">
        <is>
          <t>Vendas do dia (sex)</t>
        </is>
      </c>
      <c r="E124" s="3" t="n">
        <v>1803.74</v>
      </c>
      <c r="F124" s="3" t="n"/>
      <c r="G124" s="3">
        <f>G123+IFERROR(E124,0)-IFERROR(F124,0)</f>
        <v/>
      </c>
    </row>
    <row r="125">
      <c r="A125" s="2" t="n">
        <v>46101</v>
      </c>
      <c r="B125" t="inlineStr">
        <is>
          <t>Receita</t>
        </is>
      </c>
      <c r="C125" t="inlineStr">
        <is>
          <t>Dinheiro</t>
        </is>
      </c>
      <c r="D125" t="inlineStr">
        <is>
          <t>Vendas do dia (sex)</t>
        </is>
      </c>
      <c r="E125" s="3" t="n">
        <v>501.04</v>
      </c>
      <c r="F125" s="3" t="n"/>
      <c r="G125" s="3">
        <f>G124+IFERROR(E125,0)-IFERROR(F125,0)</f>
        <v/>
      </c>
    </row>
    <row r="126">
      <c r="A126" s="2" t="n">
        <v>46102</v>
      </c>
      <c r="B126" t="inlineStr">
        <is>
          <t>Despesa variável</t>
        </is>
      </c>
      <c r="C126" t="inlineStr">
        <is>
          <t>Comissão</t>
        </is>
      </c>
      <c r="D126" t="inlineStr">
        <is>
          <t>Comissão garçom (sáb)</t>
        </is>
      </c>
      <c r="E126" s="3" t="n"/>
      <c r="F126" s="3" t="n">
        <v>1174.52</v>
      </c>
      <c r="G126" s="3">
        <f>G125+IFERROR(E126,0)-IFERROR(F126,0)</f>
        <v/>
      </c>
    </row>
    <row r="127">
      <c r="A127" s="2" t="n">
        <v>46102</v>
      </c>
      <c r="B127" t="inlineStr">
        <is>
          <t>Fornecedor</t>
        </is>
      </c>
      <c r="C127" t="inlineStr">
        <is>
          <t>Manutenção</t>
        </is>
      </c>
      <c r="D127" t="inlineStr">
        <is>
          <t>Reforma fachada — entrada (CAPEX classificado errado)</t>
        </is>
      </c>
      <c r="E127" s="3" t="n"/>
      <c r="F127" s="3" t="n">
        <v>28500</v>
      </c>
      <c r="G127" s="3">
        <f>G126+IFERROR(E127,0)-IFERROR(F127,0)</f>
        <v/>
      </c>
    </row>
    <row r="128">
      <c r="A128" s="2" t="n">
        <v>46102</v>
      </c>
      <c r="B128" t="inlineStr">
        <is>
          <t>Receita</t>
        </is>
      </c>
      <c r="C128" t="inlineStr">
        <is>
          <t>Cartão crédito</t>
        </is>
      </c>
      <c r="D128" t="inlineStr">
        <is>
          <t>Vendas do dia (sáb)</t>
        </is>
      </c>
      <c r="E128" s="3" t="n">
        <v>6649.83</v>
      </c>
      <c r="F128" s="3" t="n"/>
      <c r="G128" s="3">
        <f>G127+IFERROR(E128,0)-IFERROR(F128,0)</f>
        <v/>
      </c>
    </row>
    <row r="129">
      <c r="A129" s="2" t="n">
        <v>46102</v>
      </c>
      <c r="B129" t="inlineStr">
        <is>
          <t>Receita</t>
        </is>
      </c>
      <c r="C129" t="inlineStr">
        <is>
          <t>Cartão débito</t>
        </is>
      </c>
      <c r="D129" t="inlineStr">
        <is>
          <t>Vendas do dia (sáb)</t>
        </is>
      </c>
      <c r="E129" s="3" t="n">
        <v>3251.03</v>
      </c>
      <c r="F129" s="3" t="n"/>
      <c r="G129" s="3">
        <f>G128+IFERROR(E129,0)-IFERROR(F129,0)</f>
        <v/>
      </c>
    </row>
    <row r="130">
      <c r="A130" s="2" t="n">
        <v>46102</v>
      </c>
      <c r="B130" t="inlineStr">
        <is>
          <t>Receita</t>
        </is>
      </c>
      <c r="C130" t="inlineStr">
        <is>
          <t>PIX</t>
        </is>
      </c>
      <c r="D130" t="inlineStr">
        <is>
          <t>Vendas do dia (sáb)</t>
        </is>
      </c>
      <c r="E130" s="3" t="n">
        <v>2659.93</v>
      </c>
      <c r="F130" s="3" t="n"/>
      <c r="G130" s="3">
        <f>G129+IFERROR(E130,0)-IFERROR(F130,0)</f>
        <v/>
      </c>
    </row>
    <row r="131">
      <c r="A131" s="2" t="n">
        <v>46102</v>
      </c>
      <c r="B131" t="inlineStr">
        <is>
          <t>Receita</t>
        </is>
      </c>
      <c r="C131" t="inlineStr">
        <is>
          <t>Dinheiro</t>
        </is>
      </c>
      <c r="D131" t="inlineStr">
        <is>
          <t>Vendas do dia (sáb)</t>
        </is>
      </c>
      <c r="E131" s="3" t="n">
        <v>738.87</v>
      </c>
      <c r="F131" s="3" t="n"/>
      <c r="G131" s="3">
        <f>G130+IFERROR(E131,0)-IFERROR(F131,0)</f>
        <v/>
      </c>
    </row>
    <row r="132">
      <c r="A132" s="2" t="n">
        <v>46103</v>
      </c>
      <c r="B132" t="inlineStr">
        <is>
          <t>Despesa fixa</t>
        </is>
      </c>
      <c r="C132" t="inlineStr">
        <is>
          <t>Água</t>
        </is>
      </c>
      <c r="D132" t="inlineStr">
        <is>
          <t>Cagece — mar/2026</t>
        </is>
      </c>
      <c r="E132" s="3" t="n"/>
      <c r="F132" s="3" t="n">
        <v>1180</v>
      </c>
      <c r="G132" s="3">
        <f>G131+IFERROR(E132,0)-IFERROR(F132,0)</f>
        <v/>
      </c>
    </row>
    <row r="133">
      <c r="A133" s="2" t="n">
        <v>46103</v>
      </c>
      <c r="B133" t="inlineStr">
        <is>
          <t>Despesa variável</t>
        </is>
      </c>
      <c r="C133" t="inlineStr">
        <is>
          <t>Comissão</t>
        </is>
      </c>
      <c r="D133" t="inlineStr">
        <is>
          <t>Comissão garçom (dom)</t>
        </is>
      </c>
      <c r="E133" s="3" t="n"/>
      <c r="F133" s="3" t="n">
        <v>1091.44</v>
      </c>
      <c r="G133" s="3">
        <f>G132+IFERROR(E133,0)-IFERROR(F133,0)</f>
        <v/>
      </c>
    </row>
    <row r="134">
      <c r="A134" s="2" t="n">
        <v>46103</v>
      </c>
      <c r="B134" t="inlineStr">
        <is>
          <t>Receita</t>
        </is>
      </c>
      <c r="C134" t="inlineStr">
        <is>
          <t>Cartão crédito</t>
        </is>
      </c>
      <c r="D134" t="inlineStr">
        <is>
          <t>Vendas do dia (dom)</t>
        </is>
      </c>
      <c r="E134" s="3" t="n">
        <v>7553.73</v>
      </c>
      <c r="F134" s="3" t="n"/>
      <c r="G134" s="3">
        <f>G133+IFERROR(E134,0)-IFERROR(F134,0)</f>
        <v/>
      </c>
    </row>
    <row r="135">
      <c r="A135" s="2" t="n">
        <v>46103</v>
      </c>
      <c r="B135" t="inlineStr">
        <is>
          <t>Receita</t>
        </is>
      </c>
      <c r="C135" t="inlineStr">
        <is>
          <t>Cartão débito</t>
        </is>
      </c>
      <c r="D135" t="inlineStr">
        <is>
          <t>Vendas do dia (dom)</t>
        </is>
      </c>
      <c r="E135" s="3" t="n">
        <v>3692.93</v>
      </c>
      <c r="F135" s="3" t="n"/>
      <c r="G135" s="3">
        <f>G134+IFERROR(E135,0)-IFERROR(F135,0)</f>
        <v/>
      </c>
    </row>
    <row r="136">
      <c r="A136" s="2" t="n">
        <v>46103</v>
      </c>
      <c r="B136" t="inlineStr">
        <is>
          <t>Receita</t>
        </is>
      </c>
      <c r="C136" t="inlineStr">
        <is>
          <t>PIX</t>
        </is>
      </c>
      <c r="D136" t="inlineStr">
        <is>
          <t>Vendas do dia (dom)</t>
        </is>
      </c>
      <c r="E136" s="3" t="n">
        <v>3021.49</v>
      </c>
      <c r="F136" s="3" t="n"/>
      <c r="G136" s="3">
        <f>G135+IFERROR(E136,0)-IFERROR(F136,0)</f>
        <v/>
      </c>
    </row>
    <row r="137">
      <c r="A137" s="2" t="n">
        <v>46103</v>
      </c>
      <c r="B137" t="inlineStr">
        <is>
          <t>Receita</t>
        </is>
      </c>
      <c r="C137" t="inlineStr">
        <is>
          <t>Dinheiro</t>
        </is>
      </c>
      <c r="D137" t="inlineStr">
        <is>
          <t>Vendas do dia (dom)</t>
        </is>
      </c>
      <c r="E137" s="3" t="n">
        <v>839.3</v>
      </c>
      <c r="F137" s="3" t="n"/>
      <c r="G137" s="3">
        <f>G136+IFERROR(E137,0)-IFERROR(F137,0)</f>
        <v/>
      </c>
    </row>
    <row r="138">
      <c r="A138" s="2" t="n">
        <v>46104</v>
      </c>
      <c r="B138" t="inlineStr">
        <is>
          <t>Despesa fixa</t>
        </is>
      </c>
      <c r="C138" t="inlineStr">
        <is>
          <t>Internet + telefonia</t>
        </is>
      </c>
      <c r="D138" t="inlineStr">
        <is>
          <t>Internet + telefonia</t>
        </is>
      </c>
      <c r="E138" s="3" t="n"/>
      <c r="F138" s="3" t="n">
        <v>480</v>
      </c>
      <c r="G138" s="3">
        <f>G137+IFERROR(E138,0)-IFERROR(F138,0)</f>
        <v/>
      </c>
    </row>
    <row r="139">
      <c r="A139" s="2" t="n">
        <v>46104</v>
      </c>
      <c r="B139" t="inlineStr">
        <is>
          <t>Fornecedor</t>
        </is>
      </c>
      <c r="C139" t="inlineStr">
        <is>
          <t>Hortifruti</t>
        </is>
      </c>
      <c r="D139" t="inlineStr">
        <is>
          <t>Feira semanal — Ceasa</t>
        </is>
      </c>
      <c r="E139" s="3" t="n"/>
      <c r="F139" s="3" t="n">
        <v>1223.01</v>
      </c>
      <c r="G139" s="3">
        <f>G138+IFERROR(E139,0)-IFERROR(F139,0)</f>
        <v/>
      </c>
    </row>
    <row r="140">
      <c r="A140" s="2" t="n">
        <v>46104</v>
      </c>
      <c r="B140" t="inlineStr">
        <is>
          <t>Fornecedor</t>
        </is>
      </c>
      <c r="C140" t="inlineStr">
        <is>
          <t>Bebidas</t>
        </is>
      </c>
      <c r="D140" t="inlineStr">
        <is>
          <t>Distribuidora Norte</t>
        </is>
      </c>
      <c r="E140" s="3" t="n"/>
      <c r="F140" s="3" t="n">
        <v>3933.29</v>
      </c>
      <c r="G140" s="3">
        <f>G139+IFERROR(E140,0)-IFERROR(F140,0)</f>
        <v/>
      </c>
    </row>
    <row r="141">
      <c r="A141" s="2" t="n">
        <v>46104</v>
      </c>
      <c r="B141" t="inlineStr">
        <is>
          <t>Receita</t>
        </is>
      </c>
      <c r="C141" t="inlineStr">
        <is>
          <t>Cartão crédito</t>
        </is>
      </c>
      <c r="D141" t="inlineStr">
        <is>
          <t>Vendas do dia (seg)</t>
        </is>
      </c>
      <c r="E141" s="3" t="n">
        <v>1802.2</v>
      </c>
      <c r="F141" s="3" t="n"/>
      <c r="G141" s="3">
        <f>G140+IFERROR(E141,0)-IFERROR(F141,0)</f>
        <v/>
      </c>
    </row>
    <row r="142">
      <c r="A142" s="2" t="n">
        <v>46104</v>
      </c>
      <c r="B142" t="inlineStr">
        <is>
          <t>Receita</t>
        </is>
      </c>
      <c r="C142" t="inlineStr">
        <is>
          <t>Cartão débito</t>
        </is>
      </c>
      <c r="D142" t="inlineStr">
        <is>
          <t>Vendas do dia (seg)</t>
        </is>
      </c>
      <c r="E142" s="3" t="n">
        <v>881.08</v>
      </c>
      <c r="F142" s="3" t="n"/>
      <c r="G142" s="3">
        <f>G141+IFERROR(E142,0)-IFERROR(F142,0)</f>
        <v/>
      </c>
    </row>
    <row r="143">
      <c r="A143" s="2" t="n">
        <v>46104</v>
      </c>
      <c r="B143" t="inlineStr">
        <is>
          <t>Receita</t>
        </is>
      </c>
      <c r="C143" t="inlineStr">
        <is>
          <t>PIX</t>
        </is>
      </c>
      <c r="D143" t="inlineStr">
        <is>
          <t>Vendas do dia (seg)</t>
        </is>
      </c>
      <c r="E143" s="3" t="n">
        <v>720.88</v>
      </c>
      <c r="F143" s="3" t="n"/>
      <c r="G143" s="3">
        <f>G142+IFERROR(E143,0)-IFERROR(F143,0)</f>
        <v/>
      </c>
    </row>
    <row r="144">
      <c r="A144" s="2" t="n">
        <v>46104</v>
      </c>
      <c r="B144" t="inlineStr">
        <is>
          <t>Receita</t>
        </is>
      </c>
      <c r="C144" t="inlineStr">
        <is>
          <t>Dinheiro</t>
        </is>
      </c>
      <c r="D144" t="inlineStr">
        <is>
          <t>Vendas do dia (seg)</t>
        </is>
      </c>
      <c r="E144" s="3" t="n">
        <v>200.24</v>
      </c>
      <c r="F144" s="3" t="n"/>
      <c r="G144" s="3">
        <f>G143+IFERROR(E144,0)-IFERROR(F144,0)</f>
        <v/>
      </c>
    </row>
    <row r="145">
      <c r="A145" s="2" t="n">
        <v>46105</v>
      </c>
      <c r="B145" t="inlineStr">
        <is>
          <t>Despesa fixa</t>
        </is>
      </c>
      <c r="C145" t="inlineStr">
        <is>
          <t>Software</t>
        </is>
      </c>
      <c r="D145" t="inlineStr">
        <is>
          <t>PDV + ERP</t>
        </is>
      </c>
      <c r="E145" s="3" t="n"/>
      <c r="F145" s="3" t="n">
        <v>890</v>
      </c>
      <c r="G145" s="3">
        <f>G144+IFERROR(E145,0)-IFERROR(F145,0)</f>
        <v/>
      </c>
    </row>
    <row r="146">
      <c r="A146" s="2" t="n">
        <v>46105</v>
      </c>
      <c r="B146" t="inlineStr">
        <is>
          <t>Fornecedor</t>
        </is>
      </c>
      <c r="C146" t="inlineStr">
        <is>
          <t>Cárneas</t>
        </is>
      </c>
      <c r="D146" t="inlineStr">
        <is>
          <t>Açougue Boi Forte</t>
        </is>
      </c>
      <c r="E146" s="3" t="n"/>
      <c r="F146" s="3" t="n">
        <v>2446.34</v>
      </c>
      <c r="G146" s="3">
        <f>G145+IFERROR(E146,0)-IFERROR(F146,0)</f>
        <v/>
      </c>
    </row>
    <row r="147">
      <c r="A147" s="2" t="n">
        <v>46105</v>
      </c>
      <c r="B147" t="inlineStr">
        <is>
          <t>Receita</t>
        </is>
      </c>
      <c r="C147" t="inlineStr">
        <is>
          <t>Cartão crédito</t>
        </is>
      </c>
      <c r="D147" t="inlineStr">
        <is>
          <t>Vendas do dia (ter)</t>
        </is>
      </c>
      <c r="E147" s="3" t="n">
        <v>2108.47</v>
      </c>
      <c r="F147" s="3" t="n"/>
      <c r="G147" s="3">
        <f>G146+IFERROR(E147,0)-IFERROR(F147,0)</f>
        <v/>
      </c>
    </row>
    <row r="148">
      <c r="A148" s="2" t="n">
        <v>46105</v>
      </c>
      <c r="B148" t="inlineStr">
        <is>
          <t>Receita</t>
        </is>
      </c>
      <c r="C148" t="inlineStr">
        <is>
          <t>Cartão débito</t>
        </is>
      </c>
      <c r="D148" t="inlineStr">
        <is>
          <t>Vendas do dia (ter)</t>
        </is>
      </c>
      <c r="E148" s="3" t="n">
        <v>1030.81</v>
      </c>
      <c r="F148" s="3" t="n"/>
      <c r="G148" s="3">
        <f>G147+IFERROR(E148,0)-IFERROR(F148,0)</f>
        <v/>
      </c>
    </row>
    <row r="149">
      <c r="A149" s="2" t="n">
        <v>46105</v>
      </c>
      <c r="B149" t="inlineStr">
        <is>
          <t>Receita</t>
        </is>
      </c>
      <c r="C149" t="inlineStr">
        <is>
          <t>PIX</t>
        </is>
      </c>
      <c r="D149" t="inlineStr">
        <is>
          <t>Vendas do dia (ter)</t>
        </is>
      </c>
      <c r="E149" s="3" t="n">
        <v>843.39</v>
      </c>
      <c r="F149" s="3" t="n"/>
      <c r="G149" s="3">
        <f>G148+IFERROR(E149,0)-IFERROR(F149,0)</f>
        <v/>
      </c>
    </row>
    <row r="150">
      <c r="A150" s="2" t="n">
        <v>46105</v>
      </c>
      <c r="B150" t="inlineStr">
        <is>
          <t>Receita</t>
        </is>
      </c>
      <c r="C150" t="inlineStr">
        <is>
          <t>Dinheiro</t>
        </is>
      </c>
      <c r="D150" t="inlineStr">
        <is>
          <t>Vendas do dia (ter)</t>
        </is>
      </c>
      <c r="E150" s="3" t="n">
        <v>234.27</v>
      </c>
      <c r="F150" s="3" t="n"/>
      <c r="G150" s="3">
        <f>G149+IFERROR(E150,0)-IFERROR(F150,0)</f>
        <v/>
      </c>
    </row>
    <row r="151">
      <c r="A151" s="2" t="n">
        <v>46105</v>
      </c>
      <c r="B151" t="inlineStr">
        <is>
          <t>Receita</t>
        </is>
      </c>
      <c r="C151" t="inlineStr">
        <is>
          <t>iFood</t>
        </is>
      </c>
      <c r="D151" t="inlineStr">
        <is>
          <t>Repasse semanal iFood</t>
        </is>
      </c>
      <c r="E151" s="3" t="n">
        <v>5693.43</v>
      </c>
      <c r="F151" s="3" t="n"/>
      <c r="G151" s="3">
        <f>G150+IFERROR(E151,0)-IFERROR(F151,0)</f>
        <v/>
      </c>
    </row>
    <row r="152">
      <c r="A152" s="2" t="n">
        <v>46106</v>
      </c>
      <c r="B152" t="inlineStr">
        <is>
          <t>Despesa fixa</t>
        </is>
      </c>
      <c r="C152" t="inlineStr">
        <is>
          <t>Contabilidade</t>
        </is>
      </c>
      <c r="D152" t="inlineStr">
        <is>
          <t>Escritório contábil</t>
        </is>
      </c>
      <c r="E152" s="3" t="n"/>
      <c r="F152" s="3" t="n">
        <v>1450</v>
      </c>
      <c r="G152" s="3">
        <f>G151+IFERROR(E152,0)-IFERROR(F152,0)</f>
        <v/>
      </c>
    </row>
    <row r="153">
      <c r="A153" s="2" t="n">
        <v>46106</v>
      </c>
      <c r="B153" t="inlineStr">
        <is>
          <t>Fornecedor</t>
        </is>
      </c>
      <c r="C153" t="inlineStr">
        <is>
          <t>Hortifruti</t>
        </is>
      </c>
      <c r="D153" t="inlineStr">
        <is>
          <t>Reposição hortifruti</t>
        </is>
      </c>
      <c r="E153" s="3" t="n"/>
      <c r="F153" s="3" t="n">
        <v>1051.2</v>
      </c>
      <c r="G153" s="3">
        <f>G152+IFERROR(E153,0)-IFERROR(F153,0)</f>
        <v/>
      </c>
    </row>
    <row r="154">
      <c r="A154" s="2" t="n">
        <v>46106</v>
      </c>
      <c r="B154" t="inlineStr">
        <is>
          <t>Fornecedor</t>
        </is>
      </c>
      <c r="C154" t="inlineStr">
        <is>
          <t>Mercearia</t>
        </is>
      </c>
      <c r="D154" t="inlineStr">
        <is>
          <t>Atacado mercearia</t>
        </is>
      </c>
      <c r="E154" s="3" t="n"/>
      <c r="F154" s="3" t="n">
        <v>1914.13</v>
      </c>
      <c r="G154" s="3">
        <f>G153+IFERROR(E154,0)-IFERROR(F154,0)</f>
        <v/>
      </c>
    </row>
    <row r="155">
      <c r="A155" s="2" t="n">
        <v>46106</v>
      </c>
      <c r="B155" t="inlineStr">
        <is>
          <t>Receita</t>
        </is>
      </c>
      <c r="C155" t="inlineStr">
        <is>
          <t>Cartão crédito</t>
        </is>
      </c>
      <c r="D155" t="inlineStr">
        <is>
          <t>Vendas do dia (qua)</t>
        </is>
      </c>
      <c r="E155" s="3" t="n">
        <v>2787.74</v>
      </c>
      <c r="F155" s="3" t="n"/>
      <c r="G155" s="3">
        <f>G154+IFERROR(E155,0)-IFERROR(F155,0)</f>
        <v/>
      </c>
    </row>
    <row r="156">
      <c r="A156" s="2" t="n">
        <v>46106</v>
      </c>
      <c r="B156" t="inlineStr">
        <is>
          <t>Receita</t>
        </is>
      </c>
      <c r="C156" t="inlineStr">
        <is>
          <t>Cartão débito</t>
        </is>
      </c>
      <c r="D156" t="inlineStr">
        <is>
          <t>Vendas do dia (qua)</t>
        </is>
      </c>
      <c r="E156" s="3" t="n">
        <v>1362.9</v>
      </c>
      <c r="F156" s="3" t="n"/>
      <c r="G156" s="3">
        <f>G155+IFERROR(E156,0)-IFERROR(F156,0)</f>
        <v/>
      </c>
    </row>
    <row r="157">
      <c r="A157" s="2" t="n">
        <v>46106</v>
      </c>
      <c r="B157" t="inlineStr">
        <is>
          <t>Receita</t>
        </is>
      </c>
      <c r="C157" t="inlineStr">
        <is>
          <t>PIX</t>
        </is>
      </c>
      <c r="D157" t="inlineStr">
        <is>
          <t>Vendas do dia (qua)</t>
        </is>
      </c>
      <c r="E157" s="3" t="n">
        <v>1115.1</v>
      </c>
      <c r="F157" s="3" t="n"/>
      <c r="G157" s="3">
        <f>G156+IFERROR(E157,0)-IFERROR(F157,0)</f>
        <v/>
      </c>
    </row>
    <row r="158">
      <c r="A158" s="2" t="n">
        <v>46106</v>
      </c>
      <c r="B158" t="inlineStr">
        <is>
          <t>Receita</t>
        </is>
      </c>
      <c r="C158" t="inlineStr">
        <is>
          <t>Dinheiro</t>
        </is>
      </c>
      <c r="D158" t="inlineStr">
        <is>
          <t>Vendas do dia (qua)</t>
        </is>
      </c>
      <c r="E158" s="3" t="n">
        <v>309.75</v>
      </c>
      <c r="F158" s="3" t="n"/>
      <c r="G158" s="3">
        <f>G157+IFERROR(E158,0)-IFERROR(F158,0)</f>
        <v/>
      </c>
    </row>
    <row r="159">
      <c r="A159" s="2" t="n">
        <v>46107</v>
      </c>
      <c r="B159" t="inlineStr">
        <is>
          <t>Despesa fixa</t>
        </is>
      </c>
      <c r="C159" t="inlineStr">
        <is>
          <t>Outras operacionais</t>
        </is>
      </c>
      <c r="D159" t="inlineStr">
        <is>
          <t>Despesas operacionais diversas</t>
        </is>
      </c>
      <c r="E159" s="3" t="n"/>
      <c r="F159" s="3" t="n">
        <v>4342.23</v>
      </c>
      <c r="G159" s="3">
        <f>G158+IFERROR(E159,0)-IFERROR(F159,0)</f>
        <v/>
      </c>
    </row>
    <row r="160">
      <c r="A160" s="2" t="n">
        <v>46107</v>
      </c>
      <c r="B160" t="inlineStr">
        <is>
          <t>Receita</t>
        </is>
      </c>
      <c r="C160" t="inlineStr">
        <is>
          <t>Cartão crédito</t>
        </is>
      </c>
      <c r="D160" t="inlineStr">
        <is>
          <t>Vendas do dia (qui)</t>
        </is>
      </c>
      <c r="E160" s="3" t="n">
        <v>3604.19</v>
      </c>
      <c r="F160" s="3" t="n"/>
      <c r="G160" s="3">
        <f>G159+IFERROR(E160,0)-IFERROR(F160,0)</f>
        <v/>
      </c>
    </row>
    <row r="161">
      <c r="A161" s="2" t="n">
        <v>46107</v>
      </c>
      <c r="B161" t="inlineStr">
        <is>
          <t>Receita</t>
        </is>
      </c>
      <c r="C161" t="inlineStr">
        <is>
          <t>Cartão débito</t>
        </is>
      </c>
      <c r="D161" t="inlineStr">
        <is>
          <t>Vendas do dia (qui)</t>
        </is>
      </c>
      <c r="E161" s="3" t="n">
        <v>1762.05</v>
      </c>
      <c r="F161" s="3" t="n"/>
      <c r="G161" s="3">
        <f>G160+IFERROR(E161,0)-IFERROR(F161,0)</f>
        <v/>
      </c>
    </row>
    <row r="162">
      <c r="A162" s="2" t="n">
        <v>46107</v>
      </c>
      <c r="B162" t="inlineStr">
        <is>
          <t>Receita</t>
        </is>
      </c>
      <c r="C162" t="inlineStr">
        <is>
          <t>PIX</t>
        </is>
      </c>
      <c r="D162" t="inlineStr">
        <is>
          <t>Vendas do dia (qui)</t>
        </is>
      </c>
      <c r="E162" s="3" t="n">
        <v>1441.68</v>
      </c>
      <c r="F162" s="3" t="n"/>
      <c r="G162" s="3">
        <f>G161+IFERROR(E162,0)-IFERROR(F162,0)</f>
        <v/>
      </c>
    </row>
    <row r="163">
      <c r="A163" s="2" t="n">
        <v>46107</v>
      </c>
      <c r="B163" t="inlineStr">
        <is>
          <t>Receita</t>
        </is>
      </c>
      <c r="C163" t="inlineStr">
        <is>
          <t>Dinheiro</t>
        </is>
      </c>
      <c r="D163" t="inlineStr">
        <is>
          <t>Vendas do dia (qui)</t>
        </is>
      </c>
      <c r="E163" s="3" t="n">
        <v>400.47</v>
      </c>
      <c r="F163" s="3" t="n"/>
      <c r="G163" s="3">
        <f>G162+IFERROR(E163,0)-IFERROR(F163,0)</f>
        <v/>
      </c>
    </row>
    <row r="164">
      <c r="A164" s="2" t="n">
        <v>46108</v>
      </c>
      <c r="B164" t="inlineStr">
        <is>
          <t>Fornecedor</t>
        </is>
      </c>
      <c r="C164" t="inlineStr">
        <is>
          <t>Cárneas</t>
        </is>
      </c>
      <c r="D164" t="inlineStr">
        <is>
          <t>Açougue Boi Forte</t>
        </is>
      </c>
      <c r="E164" s="3" t="n"/>
      <c r="F164" s="3" t="n">
        <v>3336.34</v>
      </c>
      <c r="G164" s="3">
        <f>G163+IFERROR(E164,0)-IFERROR(F164,0)</f>
        <v/>
      </c>
    </row>
    <row r="165">
      <c r="A165" s="2" t="n">
        <v>46108</v>
      </c>
      <c r="B165" t="inlineStr">
        <is>
          <t>Fornecedor</t>
        </is>
      </c>
      <c r="C165" t="inlineStr">
        <is>
          <t>Laticínios</t>
        </is>
      </c>
      <c r="D165" t="inlineStr">
        <is>
          <t>Laticínios semana</t>
        </is>
      </c>
      <c r="E165" s="3" t="n"/>
      <c r="F165" s="3" t="n">
        <v>1170.55</v>
      </c>
      <c r="G165" s="3">
        <f>G164+IFERROR(E165,0)-IFERROR(F165,0)</f>
        <v/>
      </c>
    </row>
    <row r="166">
      <c r="A166" s="2" t="n">
        <v>46108</v>
      </c>
      <c r="B166" t="inlineStr">
        <is>
          <t>Receita</t>
        </is>
      </c>
      <c r="C166" t="inlineStr">
        <is>
          <t>Cartão crédito</t>
        </is>
      </c>
      <c r="D166" t="inlineStr">
        <is>
          <t>Vendas do dia (sex)</t>
        </is>
      </c>
      <c r="E166" s="3" t="n">
        <v>5139.62</v>
      </c>
      <c r="F166" s="3" t="n"/>
      <c r="G166" s="3">
        <f>G165+IFERROR(E166,0)-IFERROR(F166,0)</f>
        <v/>
      </c>
    </row>
    <row r="167">
      <c r="A167" s="2" t="n">
        <v>46108</v>
      </c>
      <c r="B167" t="inlineStr">
        <is>
          <t>Receita</t>
        </is>
      </c>
      <c r="C167" t="inlineStr">
        <is>
          <t>Cartão débito</t>
        </is>
      </c>
      <c r="D167" t="inlineStr">
        <is>
          <t>Vendas do dia (sex)</t>
        </is>
      </c>
      <c r="E167" s="3" t="n">
        <v>2512.7</v>
      </c>
      <c r="F167" s="3" t="n"/>
      <c r="G167" s="3">
        <f>G166+IFERROR(E167,0)-IFERROR(F167,0)</f>
        <v/>
      </c>
    </row>
    <row r="168">
      <c r="A168" s="2" t="n">
        <v>46108</v>
      </c>
      <c r="B168" t="inlineStr">
        <is>
          <t>Receita</t>
        </is>
      </c>
      <c r="C168" t="inlineStr">
        <is>
          <t>PIX</t>
        </is>
      </c>
      <c r="D168" t="inlineStr">
        <is>
          <t>Vendas do dia (sex)</t>
        </is>
      </c>
      <c r="E168" s="3" t="n">
        <v>2055.85</v>
      </c>
      <c r="F168" s="3" t="n"/>
      <c r="G168" s="3">
        <f>G167+IFERROR(E168,0)-IFERROR(F168,0)</f>
        <v/>
      </c>
    </row>
    <row r="169">
      <c r="A169" s="2" t="n">
        <v>46108</v>
      </c>
      <c r="B169" t="inlineStr">
        <is>
          <t>Receita</t>
        </is>
      </c>
      <c r="C169" t="inlineStr">
        <is>
          <t>Dinheiro</t>
        </is>
      </c>
      <c r="D169" t="inlineStr">
        <is>
          <t>Vendas do dia (sex)</t>
        </is>
      </c>
      <c r="E169" s="3" t="n">
        <v>571.0700000000001</v>
      </c>
      <c r="F169" s="3" t="n"/>
      <c r="G169" s="3">
        <f>G168+IFERROR(E169,0)-IFERROR(F169,0)</f>
        <v/>
      </c>
    </row>
    <row r="170">
      <c r="A170" s="2" t="n">
        <v>46109</v>
      </c>
      <c r="B170" t="inlineStr">
        <is>
          <t>Despesa variável</t>
        </is>
      </c>
      <c r="C170" t="inlineStr">
        <is>
          <t>Comissão</t>
        </is>
      </c>
      <c r="D170" t="inlineStr">
        <is>
          <t>Comissão garçom (sáb)</t>
        </is>
      </c>
      <c r="E170" s="3" t="n"/>
      <c r="F170" s="3" t="n">
        <v>1034.18</v>
      </c>
      <c r="G170" s="3">
        <f>G169+IFERROR(E170,0)-IFERROR(F170,0)</f>
        <v/>
      </c>
    </row>
    <row r="171">
      <c r="A171" s="2" t="n">
        <v>46109</v>
      </c>
      <c r="B171" t="inlineStr">
        <is>
          <t>Fornecedor</t>
        </is>
      </c>
      <c r="C171" t="inlineStr">
        <is>
          <t>Descartáveis</t>
        </is>
      </c>
      <c r="D171" t="inlineStr">
        <is>
          <t>Embalagens Sul</t>
        </is>
      </c>
      <c r="E171" s="3" t="n"/>
      <c r="F171" s="3" t="n">
        <v>1420</v>
      </c>
      <c r="G171" s="3">
        <f>G170+IFERROR(E171,0)-IFERROR(F171,0)</f>
        <v/>
      </c>
    </row>
    <row r="172">
      <c r="A172" s="2" t="n">
        <v>46109</v>
      </c>
      <c r="B172" t="inlineStr">
        <is>
          <t>Receita</t>
        </is>
      </c>
      <c r="C172" t="inlineStr">
        <is>
          <t>Cartão crédito</t>
        </is>
      </c>
      <c r="D172" t="inlineStr">
        <is>
          <t>Vendas do dia (sáb)</t>
        </is>
      </c>
      <c r="E172" s="3" t="n">
        <v>7941.9</v>
      </c>
      <c r="F172" s="3" t="n"/>
      <c r="G172" s="3">
        <f>G171+IFERROR(E172,0)-IFERROR(F172,0)</f>
        <v/>
      </c>
    </row>
    <row r="173">
      <c r="A173" s="2" t="n">
        <v>46109</v>
      </c>
      <c r="B173" t="inlineStr">
        <is>
          <t>Receita</t>
        </is>
      </c>
      <c r="C173" t="inlineStr">
        <is>
          <t>Cartão débito</t>
        </is>
      </c>
      <c r="D173" t="inlineStr">
        <is>
          <t>Vendas do dia (sáb)</t>
        </is>
      </c>
      <c r="E173" s="3" t="n">
        <v>3882.7</v>
      </c>
      <c r="F173" s="3" t="n"/>
      <c r="G173" s="3">
        <f>G172+IFERROR(E173,0)-IFERROR(F173,0)</f>
        <v/>
      </c>
    </row>
    <row r="174">
      <c r="A174" s="2" t="n">
        <v>46109</v>
      </c>
      <c r="B174" t="inlineStr">
        <is>
          <t>Receita</t>
        </is>
      </c>
      <c r="C174" t="inlineStr">
        <is>
          <t>PIX</t>
        </is>
      </c>
      <c r="D174" t="inlineStr">
        <is>
          <t>Vendas do dia (sáb)</t>
        </is>
      </c>
      <c r="E174" s="3" t="n">
        <v>3176.76</v>
      </c>
      <c r="F174" s="3" t="n"/>
      <c r="G174" s="3">
        <f>G173+IFERROR(E174,0)-IFERROR(F174,0)</f>
        <v/>
      </c>
    </row>
    <row r="175">
      <c r="A175" s="2" t="n">
        <v>46109</v>
      </c>
      <c r="B175" t="inlineStr">
        <is>
          <t>Receita</t>
        </is>
      </c>
      <c r="C175" t="inlineStr">
        <is>
          <t>Dinheiro</t>
        </is>
      </c>
      <c r="D175" t="inlineStr">
        <is>
          <t>Vendas do dia (sáb)</t>
        </is>
      </c>
      <c r="E175" s="3" t="n">
        <v>882.4299999999999</v>
      </c>
      <c r="F175" s="3" t="n"/>
      <c r="G175" s="3">
        <f>G174+IFERROR(E175,0)-IFERROR(F175,0)</f>
        <v/>
      </c>
    </row>
    <row r="176">
      <c r="A176" s="2" t="n">
        <v>46109</v>
      </c>
      <c r="B176" t="inlineStr">
        <is>
          <t>Receita</t>
        </is>
      </c>
      <c r="C176" t="inlineStr">
        <is>
          <t>Eventos</t>
        </is>
      </c>
      <c r="D176" t="inlineStr">
        <is>
          <t>Aluguel do salão — aniversário</t>
        </is>
      </c>
      <c r="E176" s="3" t="n">
        <v>4500</v>
      </c>
      <c r="F176" s="3" t="n"/>
      <c r="G176" s="3">
        <f>G175+IFERROR(E176,0)-IFERROR(F176,0)</f>
        <v/>
      </c>
    </row>
    <row r="177">
      <c r="A177" s="2" t="n">
        <v>46110</v>
      </c>
      <c r="B177" t="inlineStr">
        <is>
          <t>Despesa variável</t>
        </is>
      </c>
      <c r="C177" t="inlineStr">
        <is>
          <t>Comissão</t>
        </is>
      </c>
      <c r="D177" t="inlineStr">
        <is>
          <t>Comissão garçom (dom)</t>
        </is>
      </c>
      <c r="E177" s="3" t="n"/>
      <c r="F177" s="3" t="n">
        <v>943.85</v>
      </c>
      <c r="G177" s="3">
        <f>G176+IFERROR(E177,0)-IFERROR(F177,0)</f>
        <v/>
      </c>
    </row>
    <row r="178">
      <c r="A178" s="2" t="n">
        <v>46110</v>
      </c>
      <c r="B178" t="inlineStr">
        <is>
          <t>Receita</t>
        </is>
      </c>
      <c r="C178" t="inlineStr">
        <is>
          <t>Cartão crédito</t>
        </is>
      </c>
      <c r="D178" t="inlineStr">
        <is>
          <t>Vendas do dia (dom)</t>
        </is>
      </c>
      <c r="E178" s="3" t="n">
        <v>6606.51</v>
      </c>
      <c r="F178" s="3" t="n"/>
      <c r="G178" s="3">
        <f>G177+IFERROR(E178,0)-IFERROR(F178,0)</f>
        <v/>
      </c>
    </row>
    <row r="179">
      <c r="A179" s="2" t="n">
        <v>46110</v>
      </c>
      <c r="B179" t="inlineStr">
        <is>
          <t>Receita</t>
        </is>
      </c>
      <c r="C179" t="inlineStr">
        <is>
          <t>Cartão débito</t>
        </is>
      </c>
      <c r="D179" t="inlineStr">
        <is>
          <t>Vendas do dia (dom)</t>
        </is>
      </c>
      <c r="E179" s="3" t="n">
        <v>3229.85</v>
      </c>
      <c r="F179" s="3" t="n"/>
      <c r="G179" s="3">
        <f>G178+IFERROR(E179,0)-IFERROR(F179,0)</f>
        <v/>
      </c>
    </row>
    <row r="180">
      <c r="A180" s="2" t="n">
        <v>46110</v>
      </c>
      <c r="B180" t="inlineStr">
        <is>
          <t>Receita</t>
        </is>
      </c>
      <c r="C180" t="inlineStr">
        <is>
          <t>PIX</t>
        </is>
      </c>
      <c r="D180" t="inlineStr">
        <is>
          <t>Vendas do dia (dom)</t>
        </is>
      </c>
      <c r="E180" s="3" t="n">
        <v>2642.61</v>
      </c>
      <c r="F180" s="3" t="n"/>
      <c r="G180" s="3">
        <f>G179+IFERROR(E180,0)-IFERROR(F180,0)</f>
        <v/>
      </c>
    </row>
    <row r="181">
      <c r="A181" s="2" t="n">
        <v>46110</v>
      </c>
      <c r="B181" t="inlineStr">
        <is>
          <t>Receita</t>
        </is>
      </c>
      <c r="C181" t="inlineStr">
        <is>
          <t>Dinheiro</t>
        </is>
      </c>
      <c r="D181" t="inlineStr">
        <is>
          <t>Vendas do dia (dom)</t>
        </is>
      </c>
      <c r="E181" s="3" t="n">
        <v>734.0599999999999</v>
      </c>
      <c r="F181" s="3" t="n"/>
      <c r="G181" s="3">
        <f>G180+IFERROR(E181,0)-IFERROR(F181,0)</f>
        <v/>
      </c>
    </row>
    <row r="182">
      <c r="A182" s="2" t="n">
        <v>46111</v>
      </c>
      <c r="B182" t="inlineStr">
        <is>
          <t>Despesa fixa</t>
        </is>
      </c>
      <c r="C182" t="inlineStr">
        <is>
          <t>Folha</t>
        </is>
      </c>
      <c r="D182" t="inlineStr">
        <is>
          <t>Folha 2ª quinzena</t>
        </is>
      </c>
      <c r="E182" s="3" t="n"/>
      <c r="F182" s="3" t="n">
        <v>26420</v>
      </c>
      <c r="G182" s="3">
        <f>G181+IFERROR(E182,0)-IFERROR(F182,0)</f>
        <v/>
      </c>
    </row>
    <row r="183">
      <c r="A183" s="2" t="n">
        <v>46111</v>
      </c>
      <c r="B183" t="inlineStr">
        <is>
          <t>Fornecedor</t>
        </is>
      </c>
      <c r="C183" t="inlineStr">
        <is>
          <t>Hortifruti</t>
        </is>
      </c>
      <c r="D183" t="inlineStr">
        <is>
          <t>Feira semanal — Ceasa</t>
        </is>
      </c>
      <c r="E183" s="3" t="n"/>
      <c r="F183" s="3" t="n">
        <v>1134.26</v>
      </c>
      <c r="G183" s="3">
        <f>G182+IFERROR(E183,0)-IFERROR(F183,0)</f>
        <v/>
      </c>
    </row>
    <row r="184">
      <c r="A184" s="2" t="n">
        <v>46111</v>
      </c>
      <c r="B184" t="inlineStr">
        <is>
          <t>Fornecedor</t>
        </is>
      </c>
      <c r="C184" t="inlineStr">
        <is>
          <t>Bebidas</t>
        </is>
      </c>
      <c r="D184" t="inlineStr">
        <is>
          <t>Distribuidora Norte</t>
        </is>
      </c>
      <c r="E184" s="3" t="n"/>
      <c r="F184" s="3" t="n">
        <v>3867.85</v>
      </c>
      <c r="G184" s="3">
        <f>G183+IFERROR(E184,0)-IFERROR(F184,0)</f>
        <v/>
      </c>
    </row>
    <row r="185">
      <c r="A185" s="2" t="n">
        <v>46111</v>
      </c>
      <c r="B185" t="inlineStr">
        <is>
          <t>Receita</t>
        </is>
      </c>
      <c r="C185" t="inlineStr">
        <is>
          <t>Cartão crédito</t>
        </is>
      </c>
      <c r="D185" t="inlineStr">
        <is>
          <t>Vendas do dia (seg)</t>
        </is>
      </c>
      <c r="E185" s="3" t="n">
        <v>2231.85</v>
      </c>
      <c r="F185" s="3" t="n"/>
      <c r="G185" s="3">
        <f>G184+IFERROR(E185,0)-IFERROR(F185,0)</f>
        <v/>
      </c>
    </row>
    <row r="186">
      <c r="A186" s="2" t="n">
        <v>46111</v>
      </c>
      <c r="B186" t="inlineStr">
        <is>
          <t>Receita</t>
        </is>
      </c>
      <c r="C186" t="inlineStr">
        <is>
          <t>Cartão débito</t>
        </is>
      </c>
      <c r="D186" t="inlineStr">
        <is>
          <t>Vendas do dia (seg)</t>
        </is>
      </c>
      <c r="E186" s="3" t="n">
        <v>1091.13</v>
      </c>
      <c r="F186" s="3" t="n"/>
      <c r="G186" s="3">
        <f>G185+IFERROR(E186,0)-IFERROR(F186,0)</f>
        <v/>
      </c>
    </row>
    <row r="187">
      <c r="A187" s="2" t="n">
        <v>46111</v>
      </c>
      <c r="B187" t="inlineStr">
        <is>
          <t>Receita</t>
        </is>
      </c>
      <c r="C187" t="inlineStr">
        <is>
          <t>PIX</t>
        </is>
      </c>
      <c r="D187" t="inlineStr">
        <is>
          <t>Vendas do dia (seg)</t>
        </is>
      </c>
      <c r="E187" s="3" t="n">
        <v>892.74</v>
      </c>
      <c r="F187" s="3" t="n"/>
      <c r="G187" s="3">
        <f>G186+IFERROR(E187,0)-IFERROR(F187,0)</f>
        <v/>
      </c>
    </row>
    <row r="188">
      <c r="A188" s="2" t="n">
        <v>46111</v>
      </c>
      <c r="B188" t="inlineStr">
        <is>
          <t>Receita</t>
        </is>
      </c>
      <c r="C188" t="inlineStr">
        <is>
          <t>Dinheiro</t>
        </is>
      </c>
      <c r="D188" t="inlineStr">
        <is>
          <t>Vendas do dia (seg)</t>
        </is>
      </c>
      <c r="E188" s="3" t="n">
        <v>247.98</v>
      </c>
      <c r="F188" s="3" t="n"/>
      <c r="G188" s="3">
        <f>G187+IFERROR(E188,0)-IFERROR(F188,0)</f>
        <v/>
      </c>
    </row>
    <row r="189">
      <c r="A189" s="2" t="n">
        <v>46112</v>
      </c>
      <c r="B189" t="inlineStr">
        <is>
          <t>Fornecedor</t>
        </is>
      </c>
      <c r="C189" t="inlineStr">
        <is>
          <t>Cárneas</t>
        </is>
      </c>
      <c r="D189" t="inlineStr">
        <is>
          <t>Açougue Boi Forte</t>
        </is>
      </c>
      <c r="E189" s="3" t="n"/>
      <c r="F189" s="3" t="n">
        <v>2788.79</v>
      </c>
      <c r="G189" s="3">
        <f>G188+IFERROR(E189,0)-IFERROR(F189,0)</f>
        <v/>
      </c>
    </row>
    <row r="190">
      <c r="A190" s="2" t="n">
        <v>46112</v>
      </c>
      <c r="B190" t="inlineStr">
        <is>
          <t>Receita</t>
        </is>
      </c>
      <c r="C190" t="inlineStr">
        <is>
          <t>Cartão crédito</t>
        </is>
      </c>
      <c r="D190" t="inlineStr">
        <is>
          <t>Vendas do dia (ter)</t>
        </is>
      </c>
      <c r="E190" s="3" t="n">
        <v>2365.68</v>
      </c>
      <c r="F190" s="3" t="n"/>
      <c r="G190" s="3">
        <f>G189+IFERROR(E190,0)-IFERROR(F190,0)</f>
        <v/>
      </c>
    </row>
    <row r="191">
      <c r="A191" s="2" t="n">
        <v>46112</v>
      </c>
      <c r="B191" t="inlineStr">
        <is>
          <t>Receita</t>
        </is>
      </c>
      <c r="C191" t="inlineStr">
        <is>
          <t>Cartão débito</t>
        </is>
      </c>
      <c r="D191" t="inlineStr">
        <is>
          <t>Vendas do dia (ter)</t>
        </is>
      </c>
      <c r="E191" s="3" t="n">
        <v>1156.56</v>
      </c>
      <c r="F191" s="3" t="n"/>
      <c r="G191" s="3">
        <f>G190+IFERROR(E191,0)-IFERROR(F191,0)</f>
        <v/>
      </c>
    </row>
    <row r="192">
      <c r="A192" s="2" t="n">
        <v>46112</v>
      </c>
      <c r="B192" t="inlineStr">
        <is>
          <t>Receita</t>
        </is>
      </c>
      <c r="C192" t="inlineStr">
        <is>
          <t>PIX</t>
        </is>
      </c>
      <c r="D192" t="inlineStr">
        <is>
          <t>Vendas do dia (ter)</t>
        </is>
      </c>
      <c r="E192" s="3" t="n">
        <v>946.27</v>
      </c>
      <c r="F192" s="3" t="n"/>
      <c r="G192" s="3">
        <f>G191+IFERROR(E192,0)-IFERROR(F192,0)</f>
        <v/>
      </c>
    </row>
    <row r="193">
      <c r="A193" s="2" t="n">
        <v>46112</v>
      </c>
      <c r="B193" t="inlineStr">
        <is>
          <t>Receita</t>
        </is>
      </c>
      <c r="C193" t="inlineStr">
        <is>
          <t>Dinheiro</t>
        </is>
      </c>
      <c r="D193" t="inlineStr">
        <is>
          <t>Vendas do dia (ter)</t>
        </is>
      </c>
      <c r="E193" s="3" t="n">
        <v>262.85</v>
      </c>
      <c r="F193" s="3" t="n"/>
      <c r="G193" s="3">
        <f>G192+IFERROR(E193,0)-IFERROR(F193,0)</f>
        <v/>
      </c>
    </row>
    <row r="194">
      <c r="A194" s="2" t="n">
        <v>46112</v>
      </c>
      <c r="B194" t="inlineStr">
        <is>
          <t>Receita</t>
        </is>
      </c>
      <c r="C194" t="inlineStr">
        <is>
          <t>iFood</t>
        </is>
      </c>
      <c r="D194" t="inlineStr">
        <is>
          <t>Repasse semanal iFood</t>
        </is>
      </c>
      <c r="E194" s="3" t="n">
        <v>6604.08</v>
      </c>
      <c r="F194" s="3" t="n"/>
      <c r="G194" s="3">
        <f>G193+IFERROR(E194,0)-IFERROR(F194,0)</f>
        <v/>
      </c>
    </row>
    <row r="195">
      <c r="A195" s="2" t="n">
        <v>46113</v>
      </c>
      <c r="B195" t="inlineStr">
        <is>
          <t>Fornecedor</t>
        </is>
      </c>
      <c r="C195" t="inlineStr">
        <is>
          <t>Hortifruti</t>
        </is>
      </c>
      <c r="D195" t="inlineStr">
        <is>
          <t>Reposição hortifruti</t>
        </is>
      </c>
      <c r="E195" s="3" t="n"/>
      <c r="F195" s="3" t="n">
        <v>727.6900000000001</v>
      </c>
      <c r="G195" s="3">
        <f>G194+IFERROR(E195,0)-IFERROR(F195,0)</f>
        <v/>
      </c>
    </row>
    <row r="196">
      <c r="A196" s="2" t="n">
        <v>46113</v>
      </c>
      <c r="B196" t="inlineStr">
        <is>
          <t>Fornecedor</t>
        </is>
      </c>
      <c r="C196" t="inlineStr">
        <is>
          <t>Mercearia</t>
        </is>
      </c>
      <c r="D196" t="inlineStr">
        <is>
          <t>Atacado mercearia</t>
        </is>
      </c>
      <c r="E196" s="3" t="n"/>
      <c r="F196" s="3" t="n">
        <v>2069.17</v>
      </c>
      <c r="G196" s="3">
        <f>G195+IFERROR(E196,0)-IFERROR(F196,0)</f>
        <v/>
      </c>
    </row>
    <row r="197">
      <c r="A197" s="2" t="n">
        <v>46113</v>
      </c>
      <c r="B197" t="inlineStr">
        <is>
          <t>Receita</t>
        </is>
      </c>
      <c r="C197" t="inlineStr">
        <is>
          <t>Cartão crédito</t>
        </is>
      </c>
      <c r="D197" t="inlineStr">
        <is>
          <t>Vendas do dia (qua)</t>
        </is>
      </c>
      <c r="E197" s="3" t="n">
        <v>2771.46</v>
      </c>
      <c r="F197" s="3" t="n"/>
      <c r="G197" s="3">
        <f>G196+IFERROR(E197,0)-IFERROR(F197,0)</f>
        <v/>
      </c>
    </row>
    <row r="198">
      <c r="A198" s="2" t="n">
        <v>46113</v>
      </c>
      <c r="B198" t="inlineStr">
        <is>
          <t>Receita</t>
        </is>
      </c>
      <c r="C198" t="inlineStr">
        <is>
          <t>Cartão débito</t>
        </is>
      </c>
      <c r="D198" t="inlineStr">
        <is>
          <t>Vendas do dia (qua)</t>
        </is>
      </c>
      <c r="E198" s="3" t="n">
        <v>1354.94</v>
      </c>
      <c r="F198" s="3" t="n"/>
      <c r="G198" s="3">
        <f>G197+IFERROR(E198,0)-IFERROR(F198,0)</f>
        <v/>
      </c>
    </row>
    <row r="199">
      <c r="A199" s="2" t="n">
        <v>46113</v>
      </c>
      <c r="B199" t="inlineStr">
        <is>
          <t>Receita</t>
        </is>
      </c>
      <c r="C199" t="inlineStr">
        <is>
          <t>PIX</t>
        </is>
      </c>
      <c r="D199" t="inlineStr">
        <is>
          <t>Vendas do dia (qua)</t>
        </is>
      </c>
      <c r="E199" s="3" t="n">
        <v>1108.59</v>
      </c>
      <c r="F199" s="3" t="n"/>
      <c r="G199" s="3">
        <f>G198+IFERROR(E199,0)-IFERROR(F199,0)</f>
        <v/>
      </c>
    </row>
    <row r="200">
      <c r="A200" s="2" t="n">
        <v>46113</v>
      </c>
      <c r="B200" t="inlineStr">
        <is>
          <t>Receita</t>
        </is>
      </c>
      <c r="C200" t="inlineStr">
        <is>
          <t>Dinheiro</t>
        </is>
      </c>
      <c r="D200" t="inlineStr">
        <is>
          <t>Vendas do dia (qua)</t>
        </is>
      </c>
      <c r="E200" s="3" t="n">
        <v>307.94</v>
      </c>
      <c r="F200" s="3" t="n"/>
      <c r="G200" s="3">
        <f>G199+IFERROR(E200,0)-IFERROR(F200,0)</f>
        <v/>
      </c>
    </row>
    <row r="201">
      <c r="A201" s="2" t="n">
        <v>46114</v>
      </c>
      <c r="B201" t="inlineStr">
        <is>
          <t>Receita</t>
        </is>
      </c>
      <c r="C201" t="inlineStr">
        <is>
          <t>Cartão crédito</t>
        </is>
      </c>
      <c r="D201" t="inlineStr">
        <is>
          <t>Vendas do dia (qui)</t>
        </is>
      </c>
      <c r="E201" s="3" t="n">
        <v>3620.83</v>
      </c>
      <c r="F201" s="3" t="n"/>
      <c r="G201" s="3">
        <f>G200+IFERROR(E201,0)-IFERROR(F201,0)</f>
        <v/>
      </c>
    </row>
    <row r="202">
      <c r="A202" s="2" t="n">
        <v>46114</v>
      </c>
      <c r="B202" t="inlineStr">
        <is>
          <t>Receita</t>
        </is>
      </c>
      <c r="C202" t="inlineStr">
        <is>
          <t>Cartão débito</t>
        </is>
      </c>
      <c r="D202" t="inlineStr">
        <is>
          <t>Vendas do dia (qui)</t>
        </is>
      </c>
      <c r="E202" s="3" t="n">
        <v>1770.19</v>
      </c>
      <c r="F202" s="3" t="n"/>
      <c r="G202" s="3">
        <f>G201+IFERROR(E202,0)-IFERROR(F202,0)</f>
        <v/>
      </c>
    </row>
    <row r="203">
      <c r="A203" s="2" t="n">
        <v>46114</v>
      </c>
      <c r="B203" t="inlineStr">
        <is>
          <t>Receita</t>
        </is>
      </c>
      <c r="C203" t="inlineStr">
        <is>
          <t>PIX</t>
        </is>
      </c>
      <c r="D203" t="inlineStr">
        <is>
          <t>Vendas do dia (qui)</t>
        </is>
      </c>
      <c r="E203" s="3" t="n">
        <v>1448.33</v>
      </c>
      <c r="F203" s="3" t="n"/>
      <c r="G203" s="3">
        <f>G202+IFERROR(E203,0)-IFERROR(F203,0)</f>
        <v/>
      </c>
    </row>
    <row r="204">
      <c r="A204" s="2" t="n">
        <v>46114</v>
      </c>
      <c r="B204" t="inlineStr">
        <is>
          <t>Receita</t>
        </is>
      </c>
      <c r="C204" t="inlineStr">
        <is>
          <t>Dinheiro</t>
        </is>
      </c>
      <c r="D204" t="inlineStr">
        <is>
          <t>Vendas do dia (qui)</t>
        </is>
      </c>
      <c r="E204" s="3" t="n">
        <v>402.31</v>
      </c>
      <c r="F204" s="3" t="n"/>
      <c r="G204" s="3">
        <f>G203+IFERROR(E204,0)-IFERROR(F204,0)</f>
        <v/>
      </c>
    </row>
    <row r="205">
      <c r="A205" s="2" t="n">
        <v>46115</v>
      </c>
      <c r="B205" t="inlineStr">
        <is>
          <t>Fornecedor</t>
        </is>
      </c>
      <c r="C205" t="inlineStr">
        <is>
          <t>Cárneas</t>
        </is>
      </c>
      <c r="D205" t="inlineStr">
        <is>
          <t>Açougue Boi Forte</t>
        </is>
      </c>
      <c r="E205" s="3" t="n"/>
      <c r="F205" s="3" t="n">
        <v>3112.72</v>
      </c>
      <c r="G205" s="3">
        <f>G204+IFERROR(E205,0)-IFERROR(F205,0)</f>
        <v/>
      </c>
    </row>
    <row r="206">
      <c r="A206" s="2" t="n">
        <v>46115</v>
      </c>
      <c r="B206" t="inlineStr">
        <is>
          <t>Fornecedor</t>
        </is>
      </c>
      <c r="C206" t="inlineStr">
        <is>
          <t>Laticínios</t>
        </is>
      </c>
      <c r="D206" t="inlineStr">
        <is>
          <t>Laticínios semana</t>
        </is>
      </c>
      <c r="E206" s="3" t="n"/>
      <c r="F206" s="3" t="n">
        <v>1139.48</v>
      </c>
      <c r="G206" s="3">
        <f>G205+IFERROR(E206,0)-IFERROR(F206,0)</f>
        <v/>
      </c>
    </row>
    <row r="207">
      <c r="A207" s="2" t="n">
        <v>46115</v>
      </c>
      <c r="B207" t="inlineStr">
        <is>
          <t>Receita</t>
        </is>
      </c>
      <c r="C207" t="inlineStr">
        <is>
          <t>Cartão crédito</t>
        </is>
      </c>
      <c r="D207" t="inlineStr">
        <is>
          <t>Vendas do dia (sex)</t>
        </is>
      </c>
      <c r="E207" s="3" t="n">
        <v>5213.3</v>
      </c>
      <c r="F207" s="3" t="n"/>
      <c r="G207" s="3">
        <f>G206+IFERROR(E207,0)-IFERROR(F207,0)</f>
        <v/>
      </c>
    </row>
    <row r="208">
      <c r="A208" s="2" t="n">
        <v>46115</v>
      </c>
      <c r="B208" t="inlineStr">
        <is>
          <t>Receita</t>
        </is>
      </c>
      <c r="C208" t="inlineStr">
        <is>
          <t>Cartão débito</t>
        </is>
      </c>
      <c r="D208" t="inlineStr">
        <is>
          <t>Vendas do dia (sex)</t>
        </is>
      </c>
      <c r="E208" s="3" t="n">
        <v>2548.73</v>
      </c>
      <c r="F208" s="3" t="n"/>
      <c r="G208" s="3">
        <f>G207+IFERROR(E208,0)-IFERROR(F208,0)</f>
        <v/>
      </c>
    </row>
    <row r="209">
      <c r="A209" s="2" t="n">
        <v>46115</v>
      </c>
      <c r="B209" t="inlineStr">
        <is>
          <t>Receita</t>
        </is>
      </c>
      <c r="C209" t="inlineStr">
        <is>
          <t>PIX</t>
        </is>
      </c>
      <c r="D209" t="inlineStr">
        <is>
          <t>Vendas do dia (sex)</t>
        </is>
      </c>
      <c r="E209" s="3" t="n">
        <v>2085.32</v>
      </c>
      <c r="F209" s="3" t="n"/>
      <c r="G209" s="3">
        <f>G208+IFERROR(E209,0)-IFERROR(F209,0)</f>
        <v/>
      </c>
    </row>
    <row r="210">
      <c r="A210" s="2" t="n">
        <v>46115</v>
      </c>
      <c r="B210" t="inlineStr">
        <is>
          <t>Receita</t>
        </is>
      </c>
      <c r="C210" t="inlineStr">
        <is>
          <t>Dinheiro</t>
        </is>
      </c>
      <c r="D210" t="inlineStr">
        <is>
          <t>Vendas do dia (sex)</t>
        </is>
      </c>
      <c r="E210" s="3" t="n">
        <v>579.26</v>
      </c>
      <c r="F210" s="3" t="n"/>
      <c r="G210" s="3">
        <f>G209+IFERROR(E210,0)-IFERROR(F210,0)</f>
        <v/>
      </c>
    </row>
    <row r="211">
      <c r="A211" s="2" t="n">
        <v>46116</v>
      </c>
      <c r="B211" t="inlineStr">
        <is>
          <t>Despesa fixa</t>
        </is>
      </c>
      <c r="C211" t="inlineStr">
        <is>
          <t>Outras operacionais</t>
        </is>
      </c>
      <c r="D211" t="inlineStr">
        <is>
          <t>Despesas operacionais diversas</t>
        </is>
      </c>
      <c r="E211" s="3" t="n"/>
      <c r="F211" s="3" t="n">
        <v>3072.29</v>
      </c>
      <c r="G211" s="3">
        <f>G210+IFERROR(E211,0)-IFERROR(F211,0)</f>
        <v/>
      </c>
    </row>
    <row r="212">
      <c r="A212" s="2" t="n">
        <v>46116</v>
      </c>
      <c r="B212" t="inlineStr">
        <is>
          <t>Despesa variável</t>
        </is>
      </c>
      <c r="C212" t="inlineStr">
        <is>
          <t>Comissão</t>
        </is>
      </c>
      <c r="D212" t="inlineStr">
        <is>
          <t>Comissão garçom (sáb)</t>
        </is>
      </c>
      <c r="E212" s="3" t="n"/>
      <c r="F212" s="3" t="n">
        <v>1319.05</v>
      </c>
      <c r="G212" s="3">
        <f>G211+IFERROR(E212,0)-IFERROR(F212,0)</f>
        <v/>
      </c>
    </row>
    <row r="213">
      <c r="A213" s="2" t="n">
        <v>46116</v>
      </c>
      <c r="B213" t="inlineStr">
        <is>
          <t>Fornecedor</t>
        </is>
      </c>
      <c r="C213" t="inlineStr">
        <is>
          <t>Bebidas</t>
        </is>
      </c>
      <c r="D213" t="inlineStr">
        <is>
          <t>Distribuidora Norte</t>
        </is>
      </c>
      <c r="E213" s="3" t="n"/>
      <c r="F213" s="3" t="n">
        <v>4336.08</v>
      </c>
      <c r="G213" s="3">
        <f>G212+IFERROR(E213,0)-IFERROR(F213,0)</f>
        <v/>
      </c>
    </row>
    <row r="214">
      <c r="A214" s="2" t="n">
        <v>46116</v>
      </c>
      <c r="B214" t="inlineStr">
        <is>
          <t>Receita</t>
        </is>
      </c>
      <c r="C214" t="inlineStr">
        <is>
          <t>Cartão crédito</t>
        </is>
      </c>
      <c r="D214" t="inlineStr">
        <is>
          <t>Vendas do dia (sáb)</t>
        </is>
      </c>
      <c r="E214" s="3" t="n">
        <v>7599.04</v>
      </c>
      <c r="F214" s="3" t="n"/>
      <c r="G214" s="3">
        <f>G213+IFERROR(E214,0)-IFERROR(F214,0)</f>
        <v/>
      </c>
    </row>
    <row r="215">
      <c r="A215" s="2" t="n">
        <v>46116</v>
      </c>
      <c r="B215" t="inlineStr">
        <is>
          <t>Receita</t>
        </is>
      </c>
      <c r="C215" t="inlineStr">
        <is>
          <t>Cartão débito</t>
        </is>
      </c>
      <c r="D215" t="inlineStr">
        <is>
          <t>Vendas do dia (sáb)</t>
        </is>
      </c>
      <c r="E215" s="3" t="n">
        <v>3715.09</v>
      </c>
      <c r="F215" s="3" t="n"/>
      <c r="G215" s="3">
        <f>G214+IFERROR(E215,0)-IFERROR(F215,0)</f>
        <v/>
      </c>
    </row>
    <row r="216">
      <c r="A216" s="2" t="n">
        <v>46116</v>
      </c>
      <c r="B216" t="inlineStr">
        <is>
          <t>Receita</t>
        </is>
      </c>
      <c r="C216" t="inlineStr">
        <is>
          <t>PIX</t>
        </is>
      </c>
      <c r="D216" t="inlineStr">
        <is>
          <t>Vendas do dia (sáb)</t>
        </is>
      </c>
      <c r="E216" s="3" t="n">
        <v>3039.62</v>
      </c>
      <c r="F216" s="3" t="n"/>
      <c r="G216" s="3">
        <f>G215+IFERROR(E216,0)-IFERROR(F216,0)</f>
        <v/>
      </c>
    </row>
    <row r="217">
      <c r="A217" s="2" t="n">
        <v>46116</v>
      </c>
      <c r="B217" t="inlineStr">
        <is>
          <t>Receita</t>
        </is>
      </c>
      <c r="C217" t="inlineStr">
        <is>
          <t>Dinheiro</t>
        </is>
      </c>
      <c r="D217" t="inlineStr">
        <is>
          <t>Vendas do dia (sáb)</t>
        </is>
      </c>
      <c r="E217" s="3" t="n">
        <v>844.34</v>
      </c>
      <c r="F217" s="3" t="n"/>
      <c r="G217" s="3">
        <f>G216+IFERROR(E217,0)-IFERROR(F217,0)</f>
        <v/>
      </c>
    </row>
    <row r="218">
      <c r="A218" s="2" t="n">
        <v>46117</v>
      </c>
      <c r="B218" t="inlineStr">
        <is>
          <t>Despesa fixa</t>
        </is>
      </c>
      <c r="C218" t="inlineStr">
        <is>
          <t>Aluguel</t>
        </is>
      </c>
      <c r="D218" t="inlineStr">
        <is>
          <t>Aluguel abr/2026</t>
        </is>
      </c>
      <c r="E218" s="3" t="n"/>
      <c r="F218" s="3" t="n">
        <v>18000</v>
      </c>
      <c r="G218" s="3">
        <f>G217+IFERROR(E218,0)-IFERROR(F218,0)</f>
        <v/>
      </c>
    </row>
    <row r="219">
      <c r="A219" s="2" t="n">
        <v>46117</v>
      </c>
      <c r="B219" t="inlineStr">
        <is>
          <t>Despesa variável</t>
        </is>
      </c>
      <c r="C219" t="inlineStr">
        <is>
          <t>Comissão</t>
        </is>
      </c>
      <c r="D219" t="inlineStr">
        <is>
          <t>Comissão garçom (dom)</t>
        </is>
      </c>
      <c r="E219" s="3" t="n"/>
      <c r="F219" s="3" t="n">
        <v>1042.71</v>
      </c>
      <c r="G219" s="3">
        <f>G218+IFERROR(E219,0)-IFERROR(F219,0)</f>
        <v/>
      </c>
    </row>
    <row r="220">
      <c r="A220" s="2" t="n">
        <v>46117</v>
      </c>
      <c r="B220" t="inlineStr">
        <is>
          <t>Receita</t>
        </is>
      </c>
      <c r="C220" t="inlineStr">
        <is>
          <t>Cartão crédito</t>
        </is>
      </c>
      <c r="D220" t="inlineStr">
        <is>
          <t>Vendas do dia (dom)</t>
        </is>
      </c>
      <c r="E220" s="3" t="n">
        <v>6985.29</v>
      </c>
      <c r="F220" s="3" t="n"/>
      <c r="G220" s="3">
        <f>G219+IFERROR(E220,0)-IFERROR(F220,0)</f>
        <v/>
      </c>
    </row>
    <row r="221">
      <c r="A221" s="2" t="n">
        <v>46117</v>
      </c>
      <c r="B221" t="inlineStr">
        <is>
          <t>Receita</t>
        </is>
      </c>
      <c r="C221" t="inlineStr">
        <is>
          <t>Cartão débito</t>
        </is>
      </c>
      <c r="D221" t="inlineStr">
        <is>
          <t>Vendas do dia (dom)</t>
        </is>
      </c>
      <c r="E221" s="3" t="n">
        <v>3415.03</v>
      </c>
      <c r="F221" s="3" t="n"/>
      <c r="G221" s="3">
        <f>G220+IFERROR(E221,0)-IFERROR(F221,0)</f>
        <v/>
      </c>
    </row>
    <row r="222">
      <c r="A222" s="2" t="n">
        <v>46117</v>
      </c>
      <c r="B222" t="inlineStr">
        <is>
          <t>Receita</t>
        </is>
      </c>
      <c r="C222" t="inlineStr">
        <is>
          <t>PIX</t>
        </is>
      </c>
      <c r="D222" t="inlineStr">
        <is>
          <t>Vendas do dia (dom)</t>
        </is>
      </c>
      <c r="E222" s="3" t="n">
        <v>2794.11</v>
      </c>
      <c r="F222" s="3" t="n"/>
      <c r="G222" s="3">
        <f>G221+IFERROR(E222,0)-IFERROR(F222,0)</f>
        <v/>
      </c>
    </row>
    <row r="223">
      <c r="A223" s="2" t="n">
        <v>46117</v>
      </c>
      <c r="B223" t="inlineStr">
        <is>
          <t>Receita</t>
        </is>
      </c>
      <c r="C223" t="inlineStr">
        <is>
          <t>Dinheiro</t>
        </is>
      </c>
      <c r="D223" t="inlineStr">
        <is>
          <t>Vendas do dia (dom)</t>
        </is>
      </c>
      <c r="E223" s="3" t="n">
        <v>776.14</v>
      </c>
      <c r="F223" s="3" t="n"/>
      <c r="G223" s="3">
        <f>G222+IFERROR(E223,0)-IFERROR(F223,0)</f>
        <v/>
      </c>
    </row>
    <row r="224">
      <c r="A224" s="2" t="n">
        <v>46118</v>
      </c>
      <c r="B224" t="inlineStr">
        <is>
          <t>Fornecedor</t>
        </is>
      </c>
      <c r="C224" t="inlineStr">
        <is>
          <t>Hortifruti</t>
        </is>
      </c>
      <c r="D224" t="inlineStr">
        <is>
          <t>Feira semanal — Ceasa</t>
        </is>
      </c>
      <c r="E224" s="3" t="n"/>
      <c r="F224" s="3" t="n">
        <v>1151.36</v>
      </c>
      <c r="G224" s="3">
        <f>G223+IFERROR(E224,0)-IFERROR(F224,0)</f>
        <v/>
      </c>
    </row>
    <row r="225">
      <c r="A225" s="2" t="n">
        <v>46118</v>
      </c>
      <c r="B225" t="inlineStr">
        <is>
          <t>Fornecedor</t>
        </is>
      </c>
      <c r="C225" t="inlineStr">
        <is>
          <t>Bebidas</t>
        </is>
      </c>
      <c r="D225" t="inlineStr">
        <is>
          <t>Distribuidora Norte</t>
        </is>
      </c>
      <c r="E225" s="3" t="n"/>
      <c r="F225" s="3" t="n">
        <v>4101.74</v>
      </c>
      <c r="G225" s="3">
        <f>G224+IFERROR(E225,0)-IFERROR(F225,0)</f>
        <v/>
      </c>
    </row>
    <row r="226">
      <c r="A226" s="2" t="n">
        <v>46118</v>
      </c>
      <c r="B226" t="inlineStr">
        <is>
          <t>Receita</t>
        </is>
      </c>
      <c r="C226" t="inlineStr">
        <is>
          <t>Cartão crédito</t>
        </is>
      </c>
      <c r="D226" t="inlineStr">
        <is>
          <t>Vendas do dia (seg)</t>
        </is>
      </c>
      <c r="E226" s="3" t="n">
        <v>1605.93</v>
      </c>
      <c r="F226" s="3" t="n"/>
      <c r="G226" s="3">
        <f>G225+IFERROR(E226,0)-IFERROR(F226,0)</f>
        <v/>
      </c>
    </row>
    <row r="227">
      <c r="A227" s="2" t="n">
        <v>46118</v>
      </c>
      <c r="B227" t="inlineStr">
        <is>
          <t>Receita</t>
        </is>
      </c>
      <c r="C227" t="inlineStr">
        <is>
          <t>Cartão débito</t>
        </is>
      </c>
      <c r="D227" t="inlineStr">
        <is>
          <t>Vendas do dia (seg)</t>
        </is>
      </c>
      <c r="E227" s="3" t="n">
        <v>785.12</v>
      </c>
      <c r="F227" s="3" t="n"/>
      <c r="G227" s="3">
        <f>G226+IFERROR(E227,0)-IFERROR(F227,0)</f>
        <v/>
      </c>
    </row>
    <row r="228">
      <c r="A228" s="2" t="n">
        <v>46118</v>
      </c>
      <c r="B228" t="inlineStr">
        <is>
          <t>Receita</t>
        </is>
      </c>
      <c r="C228" t="inlineStr">
        <is>
          <t>PIX</t>
        </is>
      </c>
      <c r="D228" t="inlineStr">
        <is>
          <t>Vendas do dia (seg)</t>
        </is>
      </c>
      <c r="E228" s="3" t="n">
        <v>642.37</v>
      </c>
      <c r="F228" s="3" t="n"/>
      <c r="G228" s="3">
        <f>G227+IFERROR(E228,0)-IFERROR(F228,0)</f>
        <v/>
      </c>
    </row>
    <row r="229">
      <c r="A229" s="2" t="n">
        <v>46118</v>
      </c>
      <c r="B229" t="inlineStr">
        <is>
          <t>Receita</t>
        </is>
      </c>
      <c r="C229" t="inlineStr">
        <is>
          <t>Dinheiro</t>
        </is>
      </c>
      <c r="D229" t="inlineStr">
        <is>
          <t>Vendas do dia (seg)</t>
        </is>
      </c>
      <c r="E229" s="3" t="n">
        <v>178.44</v>
      </c>
      <c r="F229" s="3" t="n"/>
      <c r="G229" s="3">
        <f>G228+IFERROR(E229,0)-IFERROR(F229,0)</f>
        <v/>
      </c>
    </row>
    <row r="230">
      <c r="A230" s="2" t="n">
        <v>46119</v>
      </c>
      <c r="B230" t="inlineStr">
        <is>
          <t>Fornecedor</t>
        </is>
      </c>
      <c r="C230" t="inlineStr">
        <is>
          <t>Cárneas</t>
        </is>
      </c>
      <c r="D230" t="inlineStr">
        <is>
          <t>Açougue Boi Forte</t>
        </is>
      </c>
      <c r="E230" s="3" t="n"/>
      <c r="F230" s="3" t="n">
        <v>2780.23</v>
      </c>
      <c r="G230" s="3">
        <f>G229+IFERROR(E230,0)-IFERROR(F230,0)</f>
        <v/>
      </c>
    </row>
    <row r="231">
      <c r="A231" s="2" t="n">
        <v>46119</v>
      </c>
      <c r="B231" t="inlineStr">
        <is>
          <t>Receita</t>
        </is>
      </c>
      <c r="C231" t="inlineStr">
        <is>
          <t>Cartão crédito</t>
        </is>
      </c>
      <c r="D231" t="inlineStr">
        <is>
          <t>Vendas do dia (ter)</t>
        </is>
      </c>
      <c r="E231" s="3" t="n">
        <v>2230.11</v>
      </c>
      <c r="F231" s="3" t="n"/>
      <c r="G231" s="3">
        <f>G230+IFERROR(E231,0)-IFERROR(F231,0)</f>
        <v/>
      </c>
    </row>
    <row r="232">
      <c r="A232" s="2" t="n">
        <v>46119</v>
      </c>
      <c r="B232" t="inlineStr">
        <is>
          <t>Receita</t>
        </is>
      </c>
      <c r="C232" t="inlineStr">
        <is>
          <t>Cartão débito</t>
        </is>
      </c>
      <c r="D232" t="inlineStr">
        <is>
          <t>Vendas do dia (ter)</t>
        </is>
      </c>
      <c r="E232" s="3" t="n">
        <v>1090.28</v>
      </c>
      <c r="F232" s="3" t="n"/>
      <c r="G232" s="3">
        <f>G231+IFERROR(E232,0)-IFERROR(F232,0)</f>
        <v/>
      </c>
    </row>
    <row r="233">
      <c r="A233" s="2" t="n">
        <v>46119</v>
      </c>
      <c r="B233" t="inlineStr">
        <is>
          <t>Receita</t>
        </is>
      </c>
      <c r="C233" t="inlineStr">
        <is>
          <t>PIX</t>
        </is>
      </c>
      <c r="D233" t="inlineStr">
        <is>
          <t>Vendas do dia (ter)</t>
        </is>
      </c>
      <c r="E233" s="3" t="n">
        <v>892.04</v>
      </c>
      <c r="F233" s="3" t="n"/>
      <c r="G233" s="3">
        <f>G232+IFERROR(E233,0)-IFERROR(F233,0)</f>
        <v/>
      </c>
    </row>
    <row r="234">
      <c r="A234" s="2" t="n">
        <v>46119</v>
      </c>
      <c r="B234" t="inlineStr">
        <is>
          <t>Receita</t>
        </is>
      </c>
      <c r="C234" t="inlineStr">
        <is>
          <t>Dinheiro</t>
        </is>
      </c>
      <c r="D234" t="inlineStr">
        <is>
          <t>Vendas do dia (ter)</t>
        </is>
      </c>
      <c r="E234" s="3" t="n">
        <v>247.79</v>
      </c>
      <c r="F234" s="3" t="n"/>
      <c r="G234" s="3">
        <f>G233+IFERROR(E234,0)-IFERROR(F234,0)</f>
        <v/>
      </c>
    </row>
    <row r="235">
      <c r="A235" s="2" t="n">
        <v>46119</v>
      </c>
      <c r="B235" t="inlineStr">
        <is>
          <t>Receita</t>
        </is>
      </c>
      <c r="C235" t="inlineStr">
        <is>
          <t>iFood</t>
        </is>
      </c>
      <c r="D235" t="inlineStr">
        <is>
          <t>Repasse semanal iFood</t>
        </is>
      </c>
      <c r="E235" s="3" t="n">
        <v>6078.78</v>
      </c>
      <c r="F235" s="3" t="n"/>
      <c r="G235" s="3">
        <f>G234+IFERROR(E235,0)-IFERROR(F235,0)</f>
        <v/>
      </c>
    </row>
    <row r="236">
      <c r="A236" s="2" t="n">
        <v>46120</v>
      </c>
      <c r="B236" t="inlineStr">
        <is>
          <t>Fornecedor</t>
        </is>
      </c>
      <c r="C236" t="inlineStr">
        <is>
          <t>Hortifruti</t>
        </is>
      </c>
      <c r="D236" t="inlineStr">
        <is>
          <t>Reposição hortifruti</t>
        </is>
      </c>
      <c r="E236" s="3" t="n"/>
      <c r="F236" s="3" t="n">
        <v>919.92</v>
      </c>
      <c r="G236" s="3">
        <f>G235+IFERROR(E236,0)-IFERROR(F236,0)</f>
        <v/>
      </c>
    </row>
    <row r="237">
      <c r="A237" s="2" t="n">
        <v>46120</v>
      </c>
      <c r="B237" t="inlineStr">
        <is>
          <t>Fornecedor</t>
        </is>
      </c>
      <c r="C237" t="inlineStr">
        <is>
          <t>Mercearia</t>
        </is>
      </c>
      <c r="D237" t="inlineStr">
        <is>
          <t>Atacado mercearia</t>
        </is>
      </c>
      <c r="E237" s="3" t="n"/>
      <c r="F237" s="3" t="n">
        <v>2053.13</v>
      </c>
      <c r="G237" s="3">
        <f>G236+IFERROR(E237,0)-IFERROR(F237,0)</f>
        <v/>
      </c>
    </row>
    <row r="238">
      <c r="A238" s="2" t="n">
        <v>46120</v>
      </c>
      <c r="B238" t="inlineStr">
        <is>
          <t>Receita</t>
        </is>
      </c>
      <c r="C238" t="inlineStr">
        <is>
          <t>Cartão crédito</t>
        </is>
      </c>
      <c r="D238" t="inlineStr">
        <is>
          <t>Vendas do dia (qua)</t>
        </is>
      </c>
      <c r="E238" s="3" t="n">
        <v>2096.81</v>
      </c>
      <c r="F238" s="3" t="n"/>
      <c r="G238" s="3">
        <f>G237+IFERROR(E238,0)-IFERROR(F238,0)</f>
        <v/>
      </c>
    </row>
    <row r="239">
      <c r="A239" s="2" t="n">
        <v>46120</v>
      </c>
      <c r="B239" t="inlineStr">
        <is>
          <t>Receita</t>
        </is>
      </c>
      <c r="C239" t="inlineStr">
        <is>
          <t>Cartão débito</t>
        </is>
      </c>
      <c r="D239" t="inlineStr">
        <is>
          <t>Vendas do dia (qua)</t>
        </is>
      </c>
      <c r="E239" s="3" t="n">
        <v>1025.11</v>
      </c>
      <c r="F239" s="3" t="n"/>
      <c r="G239" s="3">
        <f>G238+IFERROR(E239,0)-IFERROR(F239,0)</f>
        <v/>
      </c>
    </row>
    <row r="240">
      <c r="A240" s="2" t="n">
        <v>46120</v>
      </c>
      <c r="B240" t="inlineStr">
        <is>
          <t>Receita</t>
        </is>
      </c>
      <c r="C240" t="inlineStr">
        <is>
          <t>PIX</t>
        </is>
      </c>
      <c r="D240" t="inlineStr">
        <is>
          <t>Vendas do dia (qua)</t>
        </is>
      </c>
      <c r="E240" s="3" t="n">
        <v>838.73</v>
      </c>
      <c r="F240" s="3" t="n"/>
      <c r="G240" s="3">
        <f>G239+IFERROR(E240,0)-IFERROR(F240,0)</f>
        <v/>
      </c>
    </row>
    <row r="241">
      <c r="A241" s="2" t="n">
        <v>46120</v>
      </c>
      <c r="B241" t="inlineStr">
        <is>
          <t>Receita</t>
        </is>
      </c>
      <c r="C241" t="inlineStr">
        <is>
          <t>Dinheiro</t>
        </is>
      </c>
      <c r="D241" t="inlineStr">
        <is>
          <t>Vendas do dia (qua)</t>
        </is>
      </c>
      <c r="E241" s="3" t="n">
        <v>232.98</v>
      </c>
      <c r="F241" s="3" t="n"/>
      <c r="G241" s="3">
        <f>G240+IFERROR(E241,0)-IFERROR(F241,0)</f>
        <v/>
      </c>
    </row>
    <row r="242">
      <c r="A242" s="2" t="n">
        <v>46121</v>
      </c>
      <c r="B242" t="inlineStr">
        <is>
          <t>Receita</t>
        </is>
      </c>
      <c r="C242" t="inlineStr">
        <is>
          <t>Cartão crédito</t>
        </is>
      </c>
      <c r="D242" t="inlineStr">
        <is>
          <t>Vendas do dia (qui)</t>
        </is>
      </c>
      <c r="E242" s="3" t="n">
        <v>3186.89</v>
      </c>
      <c r="F242" s="3" t="n"/>
      <c r="G242" s="3">
        <f>G241+IFERROR(E242,0)-IFERROR(F242,0)</f>
        <v/>
      </c>
    </row>
    <row r="243">
      <c r="A243" s="2" t="n">
        <v>46121</v>
      </c>
      <c r="B243" t="inlineStr">
        <is>
          <t>Receita</t>
        </is>
      </c>
      <c r="C243" t="inlineStr">
        <is>
          <t>Cartão débito</t>
        </is>
      </c>
      <c r="D243" t="inlineStr">
        <is>
          <t>Vendas do dia (qui)</t>
        </is>
      </c>
      <c r="E243" s="3" t="n">
        <v>1558.03</v>
      </c>
      <c r="F243" s="3" t="n"/>
      <c r="G243" s="3">
        <f>G242+IFERROR(E243,0)-IFERROR(F243,0)</f>
        <v/>
      </c>
    </row>
    <row r="244">
      <c r="A244" s="2" t="n">
        <v>46121</v>
      </c>
      <c r="B244" t="inlineStr">
        <is>
          <t>Receita</t>
        </is>
      </c>
      <c r="C244" t="inlineStr">
        <is>
          <t>PIX</t>
        </is>
      </c>
      <c r="D244" t="inlineStr">
        <is>
          <t>Vendas do dia (qui)</t>
        </is>
      </c>
      <c r="E244" s="3" t="n">
        <v>1274.76</v>
      </c>
      <c r="F244" s="3" t="n"/>
      <c r="G244" s="3">
        <f>G243+IFERROR(E244,0)-IFERROR(F244,0)</f>
        <v/>
      </c>
    </row>
    <row r="245">
      <c r="A245" s="2" t="n">
        <v>46121</v>
      </c>
      <c r="B245" t="inlineStr">
        <is>
          <t>Receita</t>
        </is>
      </c>
      <c r="C245" t="inlineStr">
        <is>
          <t>Dinheiro</t>
        </is>
      </c>
      <c r="D245" t="inlineStr">
        <is>
          <t>Vendas do dia (qui)</t>
        </is>
      </c>
      <c r="E245" s="3" t="n">
        <v>354.1</v>
      </c>
      <c r="F245" s="3" t="n"/>
      <c r="G245" s="3">
        <f>G244+IFERROR(E245,0)-IFERROR(F245,0)</f>
        <v/>
      </c>
    </row>
    <row r="246">
      <c r="A246" s="2" t="n">
        <v>46122</v>
      </c>
      <c r="B246" t="inlineStr">
        <is>
          <t>Fornecedor</t>
        </is>
      </c>
      <c r="C246" t="inlineStr">
        <is>
          <t>Cárneas</t>
        </is>
      </c>
      <c r="D246" t="inlineStr">
        <is>
          <t>Açougue Boi Forte</t>
        </is>
      </c>
      <c r="E246" s="3" t="n"/>
      <c r="F246" s="3" t="n">
        <v>2518.07</v>
      </c>
      <c r="G246" s="3">
        <f>G245+IFERROR(E246,0)-IFERROR(F246,0)</f>
        <v/>
      </c>
    </row>
    <row r="247">
      <c r="A247" s="2" t="n">
        <v>46122</v>
      </c>
      <c r="B247" t="inlineStr">
        <is>
          <t>Fornecedor</t>
        </is>
      </c>
      <c r="C247" t="inlineStr">
        <is>
          <t>Laticínios</t>
        </is>
      </c>
      <c r="D247" t="inlineStr">
        <is>
          <t>Laticínios semana</t>
        </is>
      </c>
      <c r="E247" s="3" t="n"/>
      <c r="F247" s="3" t="n">
        <v>866.52</v>
      </c>
      <c r="G247" s="3">
        <f>G246+IFERROR(E247,0)-IFERROR(F247,0)</f>
        <v/>
      </c>
    </row>
    <row r="248">
      <c r="A248" s="2" t="n">
        <v>46122</v>
      </c>
      <c r="B248" t="inlineStr">
        <is>
          <t>Receita</t>
        </is>
      </c>
      <c r="C248" t="inlineStr">
        <is>
          <t>Cartão crédito</t>
        </is>
      </c>
      <c r="D248" t="inlineStr">
        <is>
          <t>Vendas do dia (sex)</t>
        </is>
      </c>
      <c r="E248" s="3" t="n">
        <v>4186.35</v>
      </c>
      <c r="F248" s="3" t="n"/>
      <c r="G248" s="3">
        <f>G247+IFERROR(E248,0)-IFERROR(F248,0)</f>
        <v/>
      </c>
    </row>
    <row r="249">
      <c r="A249" s="2" t="n">
        <v>46122</v>
      </c>
      <c r="B249" t="inlineStr">
        <is>
          <t>Receita</t>
        </is>
      </c>
      <c r="C249" t="inlineStr">
        <is>
          <t>Cartão débito</t>
        </is>
      </c>
      <c r="D249" t="inlineStr">
        <is>
          <t>Vendas do dia (sex)</t>
        </is>
      </c>
      <c r="E249" s="3" t="n">
        <v>2046.66</v>
      </c>
      <c r="F249" s="3" t="n"/>
      <c r="G249" s="3">
        <f>G248+IFERROR(E249,0)-IFERROR(F249,0)</f>
        <v/>
      </c>
    </row>
    <row r="250">
      <c r="A250" s="2" t="n">
        <v>46122</v>
      </c>
      <c r="B250" t="inlineStr">
        <is>
          <t>Receita</t>
        </is>
      </c>
      <c r="C250" t="inlineStr">
        <is>
          <t>PIX</t>
        </is>
      </c>
      <c r="D250" t="inlineStr">
        <is>
          <t>Vendas do dia (sex)</t>
        </is>
      </c>
      <c r="E250" s="3" t="n">
        <v>1674.54</v>
      </c>
      <c r="F250" s="3" t="n"/>
      <c r="G250" s="3">
        <f>G249+IFERROR(E250,0)-IFERROR(F250,0)</f>
        <v/>
      </c>
    </row>
    <row r="251">
      <c r="A251" s="2" t="n">
        <v>46122</v>
      </c>
      <c r="B251" t="inlineStr">
        <is>
          <t>Receita</t>
        </is>
      </c>
      <c r="C251" t="inlineStr">
        <is>
          <t>Dinheiro</t>
        </is>
      </c>
      <c r="D251" t="inlineStr">
        <is>
          <t>Vendas do dia (sex)</t>
        </is>
      </c>
      <c r="E251" s="3" t="n">
        <v>465.15</v>
      </c>
      <c r="F251" s="3" t="n"/>
      <c r="G251" s="3">
        <f>G250+IFERROR(E251,0)-IFERROR(F251,0)</f>
        <v/>
      </c>
    </row>
    <row r="252">
      <c r="A252" s="2" t="n">
        <v>46122</v>
      </c>
      <c r="B252" t="inlineStr">
        <is>
          <t>Sócios</t>
        </is>
      </c>
      <c r="C252" t="inlineStr">
        <is>
          <t>Pró-labore</t>
        </is>
      </c>
      <c r="D252" t="inlineStr">
        <is>
          <t>Sócio A — abr/2026</t>
        </is>
      </c>
      <c r="E252" s="3" t="n"/>
      <c r="F252" s="3" t="n">
        <v>8000</v>
      </c>
      <c r="G252" s="3">
        <f>G251+IFERROR(E252,0)-IFERROR(F252,0)</f>
        <v/>
      </c>
    </row>
    <row r="253">
      <c r="A253" s="2" t="n">
        <v>46122</v>
      </c>
      <c r="B253" t="inlineStr">
        <is>
          <t>Sócios</t>
        </is>
      </c>
      <c r="C253" t="inlineStr">
        <is>
          <t>Pró-labore</t>
        </is>
      </c>
      <c r="D253" t="inlineStr">
        <is>
          <t>Sócio B — abr/2026</t>
        </is>
      </c>
      <c r="E253" s="3" t="n"/>
      <c r="F253" s="3" t="n">
        <v>8000</v>
      </c>
      <c r="G253" s="3">
        <f>G252+IFERROR(E253,0)-IFERROR(F253,0)</f>
        <v/>
      </c>
    </row>
    <row r="254">
      <c r="A254" s="2" t="n">
        <v>46123</v>
      </c>
      <c r="B254" t="inlineStr">
        <is>
          <t>Despesa fixa</t>
        </is>
      </c>
      <c r="C254" t="inlineStr">
        <is>
          <t>Outras operacionais</t>
        </is>
      </c>
      <c r="D254" t="inlineStr">
        <is>
          <t>Despesas operacionais diversas</t>
        </is>
      </c>
      <c r="E254" s="3" t="n"/>
      <c r="F254" s="3" t="n">
        <v>2125.51</v>
      </c>
      <c r="G254" s="3">
        <f>G253+IFERROR(E254,0)-IFERROR(F254,0)</f>
        <v/>
      </c>
    </row>
    <row r="255">
      <c r="A255" s="2" t="n">
        <v>46123</v>
      </c>
      <c r="B255" t="inlineStr">
        <is>
          <t>Despesa variável</t>
        </is>
      </c>
      <c r="C255" t="inlineStr">
        <is>
          <t>Comissão</t>
        </is>
      </c>
      <c r="D255" t="inlineStr">
        <is>
          <t>Comissão garçom (sáb)</t>
        </is>
      </c>
      <c r="E255" s="3" t="n"/>
      <c r="F255" s="3" t="n">
        <v>1169.77</v>
      </c>
      <c r="G255" s="3">
        <f>G254+IFERROR(E255,0)-IFERROR(F255,0)</f>
        <v/>
      </c>
    </row>
    <row r="256">
      <c r="A256" s="2" t="n">
        <v>46123</v>
      </c>
      <c r="B256" t="inlineStr">
        <is>
          <t>Fornecedor</t>
        </is>
      </c>
      <c r="C256" t="inlineStr">
        <is>
          <t>Descartáveis</t>
        </is>
      </c>
      <c r="D256" t="inlineStr">
        <is>
          <t>Embalagens Sul</t>
        </is>
      </c>
      <c r="E256" s="3" t="n"/>
      <c r="F256" s="3" t="n">
        <v>1420</v>
      </c>
      <c r="G256" s="3">
        <f>G255+IFERROR(E256,0)-IFERROR(F256,0)</f>
        <v/>
      </c>
    </row>
    <row r="257">
      <c r="A257" s="2" t="n">
        <v>46123</v>
      </c>
      <c r="B257" t="inlineStr">
        <is>
          <t>Receita</t>
        </is>
      </c>
      <c r="C257" t="inlineStr">
        <is>
          <t>Cartão crédito</t>
        </is>
      </c>
      <c r="D257" t="inlineStr">
        <is>
          <t>Vendas do dia (sáb)</t>
        </is>
      </c>
      <c r="E257" s="3" t="n">
        <v>6925.44</v>
      </c>
      <c r="F257" s="3" t="n"/>
      <c r="G257" s="3">
        <f>G256+IFERROR(E257,0)-IFERROR(F257,0)</f>
        <v/>
      </c>
    </row>
    <row r="258">
      <c r="A258" s="2" t="n">
        <v>46123</v>
      </c>
      <c r="B258" t="inlineStr">
        <is>
          <t>Receita</t>
        </is>
      </c>
      <c r="C258" t="inlineStr">
        <is>
          <t>Cartão débito</t>
        </is>
      </c>
      <c r="D258" t="inlineStr">
        <is>
          <t>Vendas do dia (sáb)</t>
        </is>
      </c>
      <c r="E258" s="3" t="n">
        <v>3385.77</v>
      </c>
      <c r="F258" s="3" t="n"/>
      <c r="G258" s="3">
        <f>G257+IFERROR(E258,0)-IFERROR(F258,0)</f>
        <v/>
      </c>
    </row>
    <row r="259">
      <c r="A259" s="2" t="n">
        <v>46123</v>
      </c>
      <c r="B259" t="inlineStr">
        <is>
          <t>Receita</t>
        </is>
      </c>
      <c r="C259" t="inlineStr">
        <is>
          <t>PIX</t>
        </is>
      </c>
      <c r="D259" t="inlineStr">
        <is>
          <t>Vendas do dia (sáb)</t>
        </is>
      </c>
      <c r="E259" s="3" t="n">
        <v>2770.18</v>
      </c>
      <c r="F259" s="3" t="n"/>
      <c r="G259" s="3">
        <f>G258+IFERROR(E259,0)-IFERROR(F259,0)</f>
        <v/>
      </c>
    </row>
    <row r="260">
      <c r="A260" s="2" t="n">
        <v>46123</v>
      </c>
      <c r="B260" t="inlineStr">
        <is>
          <t>Receita</t>
        </is>
      </c>
      <c r="C260" t="inlineStr">
        <is>
          <t>Dinheiro</t>
        </is>
      </c>
      <c r="D260" t="inlineStr">
        <is>
          <t>Vendas do dia (sáb)</t>
        </is>
      </c>
      <c r="E260" s="3" t="n">
        <v>769.49</v>
      </c>
      <c r="F260" s="3" t="n"/>
      <c r="G260" s="3">
        <f>G259+IFERROR(E260,0)-IFERROR(F260,0)</f>
        <v/>
      </c>
    </row>
    <row r="261">
      <c r="A261" s="2" t="n">
        <v>46124</v>
      </c>
      <c r="B261" t="inlineStr">
        <is>
          <t>Despesa fixa</t>
        </is>
      </c>
      <c r="C261" t="inlineStr">
        <is>
          <t>Energia</t>
        </is>
      </c>
      <c r="D261" t="inlineStr">
        <is>
          <t>Enel — abr/2026</t>
        </is>
      </c>
      <c r="E261" s="3" t="n"/>
      <c r="F261" s="3" t="n">
        <v>3920</v>
      </c>
      <c r="G261" s="3">
        <f>G260+IFERROR(E261,0)-IFERROR(F261,0)</f>
        <v/>
      </c>
    </row>
    <row r="262">
      <c r="A262" s="2" t="n">
        <v>46124</v>
      </c>
      <c r="B262" t="inlineStr">
        <is>
          <t>Despesa variável</t>
        </is>
      </c>
      <c r="C262" t="inlineStr">
        <is>
          <t>Comissão</t>
        </is>
      </c>
      <c r="D262" t="inlineStr">
        <is>
          <t>Comissão garçom (dom)</t>
        </is>
      </c>
      <c r="E262" s="3" t="n"/>
      <c r="F262" s="3" t="n">
        <v>1101.79</v>
      </c>
      <c r="G262" s="3">
        <f>G261+IFERROR(E262,0)-IFERROR(F262,0)</f>
        <v/>
      </c>
    </row>
    <row r="263">
      <c r="A263" s="2" t="n">
        <v>46124</v>
      </c>
      <c r="B263" t="inlineStr">
        <is>
          <t>Receita</t>
        </is>
      </c>
      <c r="C263" t="inlineStr">
        <is>
          <t>Cartão crédito</t>
        </is>
      </c>
      <c r="D263" t="inlineStr">
        <is>
          <t>Vendas do dia (dom)</t>
        </is>
      </c>
      <c r="E263" s="3" t="n">
        <v>6830.29</v>
      </c>
      <c r="F263" s="3" t="n"/>
      <c r="G263" s="3">
        <f>G262+IFERROR(E263,0)-IFERROR(F263,0)</f>
        <v/>
      </c>
    </row>
    <row r="264">
      <c r="A264" s="2" t="n">
        <v>46124</v>
      </c>
      <c r="B264" t="inlineStr">
        <is>
          <t>Receita</t>
        </is>
      </c>
      <c r="C264" t="inlineStr">
        <is>
          <t>Cartão débito</t>
        </is>
      </c>
      <c r="D264" t="inlineStr">
        <is>
          <t>Vendas do dia (dom)</t>
        </is>
      </c>
      <c r="E264" s="3" t="n">
        <v>3339.25</v>
      </c>
      <c r="F264" s="3" t="n"/>
      <c r="G264" s="3">
        <f>G263+IFERROR(E264,0)-IFERROR(F264,0)</f>
        <v/>
      </c>
    </row>
    <row r="265">
      <c r="A265" s="2" t="n">
        <v>46124</v>
      </c>
      <c r="B265" t="inlineStr">
        <is>
          <t>Receita</t>
        </is>
      </c>
      <c r="C265" t="inlineStr">
        <is>
          <t>PIX</t>
        </is>
      </c>
      <c r="D265" t="inlineStr">
        <is>
          <t>Vendas do dia (dom)</t>
        </is>
      </c>
      <c r="E265" s="3" t="n">
        <v>2732.12</v>
      </c>
      <c r="F265" s="3" t="n"/>
      <c r="G265" s="3">
        <f>G264+IFERROR(E265,0)-IFERROR(F265,0)</f>
        <v/>
      </c>
    </row>
    <row r="266">
      <c r="A266" s="2" t="n">
        <v>46124</v>
      </c>
      <c r="B266" t="inlineStr">
        <is>
          <t>Receita</t>
        </is>
      </c>
      <c r="C266" t="inlineStr">
        <is>
          <t>Dinheiro</t>
        </is>
      </c>
      <c r="D266" t="inlineStr">
        <is>
          <t>Vendas do dia (dom)</t>
        </is>
      </c>
      <c r="E266" s="3" t="n">
        <v>758.92</v>
      </c>
      <c r="F266" s="3" t="n"/>
      <c r="G266" s="3">
        <f>G265+IFERROR(E266,0)-IFERROR(F266,0)</f>
        <v/>
      </c>
    </row>
    <row r="267">
      <c r="A267" s="2" t="n">
        <v>46125</v>
      </c>
      <c r="B267" t="inlineStr">
        <is>
          <t>Despesa fixa</t>
        </is>
      </c>
      <c r="C267" t="inlineStr">
        <is>
          <t>Gás</t>
        </is>
      </c>
      <c r="D267" t="inlineStr">
        <is>
          <t>Recarga GLP</t>
        </is>
      </c>
      <c r="E267" s="3" t="n"/>
      <c r="F267" s="3" t="n">
        <v>1020</v>
      </c>
      <c r="G267" s="3">
        <f>G266+IFERROR(E267,0)-IFERROR(F267,0)</f>
        <v/>
      </c>
    </row>
    <row r="268">
      <c r="A268" s="2" t="n">
        <v>46125</v>
      </c>
      <c r="B268" t="inlineStr">
        <is>
          <t>Fornecedor</t>
        </is>
      </c>
      <c r="C268" t="inlineStr">
        <is>
          <t>Hortifruti</t>
        </is>
      </c>
      <c r="D268" t="inlineStr">
        <is>
          <t>Feira semanal — Ceasa</t>
        </is>
      </c>
      <c r="E268" s="3" t="n"/>
      <c r="F268" s="3" t="n">
        <v>1448.97</v>
      </c>
      <c r="G268" s="3">
        <f>G267+IFERROR(E268,0)-IFERROR(F268,0)</f>
        <v/>
      </c>
    </row>
    <row r="269">
      <c r="A269" s="2" t="n">
        <v>46125</v>
      </c>
      <c r="B269" t="inlineStr">
        <is>
          <t>Fornecedor</t>
        </is>
      </c>
      <c r="C269" t="inlineStr">
        <is>
          <t>Bebidas</t>
        </is>
      </c>
      <c r="D269" t="inlineStr">
        <is>
          <t>Distribuidora Norte</t>
        </is>
      </c>
      <c r="E269" s="3" t="n"/>
      <c r="F269" s="3" t="n">
        <v>4096.51</v>
      </c>
      <c r="G269" s="3">
        <f>G268+IFERROR(E269,0)-IFERROR(F269,0)</f>
        <v/>
      </c>
    </row>
    <row r="270">
      <c r="A270" s="2" t="n">
        <v>46125</v>
      </c>
      <c r="B270" t="inlineStr">
        <is>
          <t>Receita</t>
        </is>
      </c>
      <c r="C270" t="inlineStr">
        <is>
          <t>Cartão crédito</t>
        </is>
      </c>
      <c r="D270" t="inlineStr">
        <is>
          <t>Vendas do dia (seg)</t>
        </is>
      </c>
      <c r="E270" s="3" t="n">
        <v>1821.26</v>
      </c>
      <c r="F270" s="3" t="n"/>
      <c r="G270" s="3">
        <f>G269+IFERROR(E270,0)-IFERROR(F270,0)</f>
        <v/>
      </c>
    </row>
    <row r="271">
      <c r="A271" s="2" t="n">
        <v>46125</v>
      </c>
      <c r="B271" t="inlineStr">
        <is>
          <t>Receita</t>
        </is>
      </c>
      <c r="C271" t="inlineStr">
        <is>
          <t>Cartão débito</t>
        </is>
      </c>
      <c r="D271" t="inlineStr">
        <is>
          <t>Vendas do dia (seg)</t>
        </is>
      </c>
      <c r="E271" s="3" t="n">
        <v>890.39</v>
      </c>
      <c r="F271" s="3" t="n"/>
      <c r="G271" s="3">
        <f>G270+IFERROR(E271,0)-IFERROR(F271,0)</f>
        <v/>
      </c>
    </row>
    <row r="272">
      <c r="A272" s="2" t="n">
        <v>46125</v>
      </c>
      <c r="B272" t="inlineStr">
        <is>
          <t>Receita</t>
        </is>
      </c>
      <c r="C272" t="inlineStr">
        <is>
          <t>PIX</t>
        </is>
      </c>
      <c r="D272" t="inlineStr">
        <is>
          <t>Vendas do dia (seg)</t>
        </is>
      </c>
      <c r="E272" s="3" t="n">
        <v>728.5</v>
      </c>
      <c r="F272" s="3" t="n"/>
      <c r="G272" s="3">
        <f>G271+IFERROR(E272,0)-IFERROR(F272,0)</f>
        <v/>
      </c>
    </row>
    <row r="273">
      <c r="A273" s="2" t="n">
        <v>46125</v>
      </c>
      <c r="B273" t="inlineStr">
        <is>
          <t>Receita</t>
        </is>
      </c>
      <c r="C273" t="inlineStr">
        <is>
          <t>Dinheiro</t>
        </is>
      </c>
      <c r="D273" t="inlineStr">
        <is>
          <t>Vendas do dia (seg)</t>
        </is>
      </c>
      <c r="E273" s="3" t="n">
        <v>202.36</v>
      </c>
      <c r="F273" s="3" t="n"/>
      <c r="G273" s="3">
        <f>G272+IFERROR(E273,0)-IFERROR(F273,0)</f>
        <v/>
      </c>
    </row>
    <row r="274">
      <c r="A274" s="2" t="n">
        <v>46126</v>
      </c>
      <c r="B274" t="inlineStr">
        <is>
          <t>Fornecedor</t>
        </is>
      </c>
      <c r="C274" t="inlineStr">
        <is>
          <t>Cárneas</t>
        </is>
      </c>
      <c r="D274" t="inlineStr">
        <is>
          <t>Açougue Boi Forte</t>
        </is>
      </c>
      <c r="E274" s="3" t="n"/>
      <c r="F274" s="3" t="n">
        <v>2738.51</v>
      </c>
      <c r="G274" s="3">
        <f>G273+IFERROR(E274,0)-IFERROR(F274,0)</f>
        <v/>
      </c>
    </row>
    <row r="275">
      <c r="A275" s="2" t="n">
        <v>46126</v>
      </c>
      <c r="B275" t="inlineStr">
        <is>
          <t>Receita</t>
        </is>
      </c>
      <c r="C275" t="inlineStr">
        <is>
          <t>Cartão crédito</t>
        </is>
      </c>
      <c r="D275" t="inlineStr">
        <is>
          <t>Vendas do dia (ter)</t>
        </is>
      </c>
      <c r="E275" s="3" t="n">
        <v>2358.16</v>
      </c>
      <c r="F275" s="3" t="n"/>
      <c r="G275" s="3">
        <f>G274+IFERROR(E275,0)-IFERROR(F275,0)</f>
        <v/>
      </c>
    </row>
    <row r="276">
      <c r="A276" s="2" t="n">
        <v>46126</v>
      </c>
      <c r="B276" t="inlineStr">
        <is>
          <t>Receita</t>
        </is>
      </c>
      <c r="C276" t="inlineStr">
        <is>
          <t>Cartão débito</t>
        </is>
      </c>
      <c r="D276" t="inlineStr">
        <is>
          <t>Vendas do dia (ter)</t>
        </is>
      </c>
      <c r="E276" s="3" t="n">
        <v>1152.88</v>
      </c>
      <c r="F276" s="3" t="n"/>
      <c r="G276" s="3">
        <f>G275+IFERROR(E276,0)-IFERROR(F276,0)</f>
        <v/>
      </c>
    </row>
    <row r="277">
      <c r="A277" s="2" t="n">
        <v>46126</v>
      </c>
      <c r="B277" t="inlineStr">
        <is>
          <t>Receita</t>
        </is>
      </c>
      <c r="C277" t="inlineStr">
        <is>
          <t>PIX</t>
        </is>
      </c>
      <c r="D277" t="inlineStr">
        <is>
          <t>Vendas do dia (ter)</t>
        </is>
      </c>
      <c r="E277" s="3" t="n">
        <v>943.27</v>
      </c>
      <c r="F277" s="3" t="n"/>
      <c r="G277" s="3">
        <f>G276+IFERROR(E277,0)-IFERROR(F277,0)</f>
        <v/>
      </c>
    </row>
    <row r="278">
      <c r="A278" s="2" t="n">
        <v>46126</v>
      </c>
      <c r="B278" t="inlineStr">
        <is>
          <t>Receita</t>
        </is>
      </c>
      <c r="C278" t="inlineStr">
        <is>
          <t>Dinheiro</t>
        </is>
      </c>
      <c r="D278" t="inlineStr">
        <is>
          <t>Vendas do dia (ter)</t>
        </is>
      </c>
      <c r="E278" s="3" t="n">
        <v>262.02</v>
      </c>
      <c r="F278" s="3" t="n"/>
      <c r="G278" s="3">
        <f>G277+IFERROR(E278,0)-IFERROR(F278,0)</f>
        <v/>
      </c>
    </row>
    <row r="279">
      <c r="A279" s="2" t="n">
        <v>46126</v>
      </c>
      <c r="B279" t="inlineStr">
        <is>
          <t>Receita</t>
        </is>
      </c>
      <c r="C279" t="inlineStr">
        <is>
          <t>iFood</t>
        </is>
      </c>
      <c r="D279" t="inlineStr">
        <is>
          <t>Repasse semanal iFood</t>
        </is>
      </c>
      <c r="E279" s="3" t="n">
        <v>5919.01</v>
      </c>
      <c r="F279" s="3" t="n"/>
      <c r="G279" s="3">
        <f>G278+IFERROR(E279,0)-IFERROR(F279,0)</f>
        <v/>
      </c>
    </row>
    <row r="280">
      <c r="A280" s="2" t="n">
        <v>46127</v>
      </c>
      <c r="B280" t="inlineStr">
        <is>
          <t>Despesa fixa</t>
        </is>
      </c>
      <c r="C280" t="inlineStr">
        <is>
          <t>Folha</t>
        </is>
      </c>
      <c r="D280" t="inlineStr">
        <is>
          <t>Folha 1ª quinzena</t>
        </is>
      </c>
      <c r="E280" s="3" t="n"/>
      <c r="F280" s="3" t="n">
        <v>26420</v>
      </c>
      <c r="G280" s="3">
        <f>G279+IFERROR(E280,0)-IFERROR(F280,0)</f>
        <v/>
      </c>
    </row>
    <row r="281">
      <c r="A281" s="2" t="n">
        <v>46127</v>
      </c>
      <c r="B281" t="inlineStr">
        <is>
          <t>Fornecedor</t>
        </is>
      </c>
      <c r="C281" t="inlineStr">
        <is>
          <t>Hortifruti</t>
        </is>
      </c>
      <c r="D281" t="inlineStr">
        <is>
          <t>Reposição hortifruti</t>
        </is>
      </c>
      <c r="E281" s="3" t="n"/>
      <c r="F281" s="3" t="n">
        <v>784.72</v>
      </c>
      <c r="G281" s="3">
        <f>G280+IFERROR(E281,0)-IFERROR(F281,0)</f>
        <v/>
      </c>
    </row>
    <row r="282">
      <c r="A282" s="2" t="n">
        <v>46127</v>
      </c>
      <c r="B282" t="inlineStr">
        <is>
          <t>Fornecedor</t>
        </is>
      </c>
      <c r="C282" t="inlineStr">
        <is>
          <t>Mercearia</t>
        </is>
      </c>
      <c r="D282" t="inlineStr">
        <is>
          <t>Atacado mercearia</t>
        </is>
      </c>
      <c r="E282" s="3" t="n"/>
      <c r="F282" s="3" t="n">
        <v>1967.13</v>
      </c>
      <c r="G282" s="3">
        <f>G281+IFERROR(E282,0)-IFERROR(F282,0)</f>
        <v/>
      </c>
    </row>
    <row r="283">
      <c r="A283" s="2" t="n">
        <v>46127</v>
      </c>
      <c r="B283" t="inlineStr">
        <is>
          <t>Receita</t>
        </is>
      </c>
      <c r="C283" t="inlineStr">
        <is>
          <t>Cartão crédito</t>
        </is>
      </c>
      <c r="D283" t="inlineStr">
        <is>
          <t>Vendas do dia (qua)</t>
        </is>
      </c>
      <c r="E283" s="3" t="n">
        <v>2265.28</v>
      </c>
      <c r="F283" s="3" t="n"/>
      <c r="G283" s="3">
        <f>G282+IFERROR(E283,0)-IFERROR(F283,0)</f>
        <v/>
      </c>
    </row>
    <row r="284">
      <c r="A284" s="2" t="n">
        <v>46127</v>
      </c>
      <c r="B284" t="inlineStr">
        <is>
          <t>Receita</t>
        </is>
      </c>
      <c r="C284" t="inlineStr">
        <is>
          <t>Cartão débito</t>
        </is>
      </c>
      <c r="D284" t="inlineStr">
        <is>
          <t>Vendas do dia (qua)</t>
        </is>
      </c>
      <c r="E284" s="3" t="n">
        <v>1107.47</v>
      </c>
      <c r="F284" s="3" t="n"/>
      <c r="G284" s="3">
        <f>G283+IFERROR(E284,0)-IFERROR(F284,0)</f>
        <v/>
      </c>
    </row>
    <row r="285">
      <c r="A285" s="2" t="n">
        <v>46127</v>
      </c>
      <c r="B285" t="inlineStr">
        <is>
          <t>Receita</t>
        </is>
      </c>
      <c r="C285" t="inlineStr">
        <is>
          <t>PIX</t>
        </is>
      </c>
      <c r="D285" t="inlineStr">
        <is>
          <t>Vendas do dia (qua)</t>
        </is>
      </c>
      <c r="E285" s="3" t="n">
        <v>906.11</v>
      </c>
      <c r="F285" s="3" t="n"/>
      <c r="G285" s="3">
        <f>G284+IFERROR(E285,0)-IFERROR(F285,0)</f>
        <v/>
      </c>
    </row>
    <row r="286">
      <c r="A286" s="2" t="n">
        <v>46127</v>
      </c>
      <c r="B286" t="inlineStr">
        <is>
          <t>Receita</t>
        </is>
      </c>
      <c r="C286" t="inlineStr">
        <is>
          <t>Dinheiro</t>
        </is>
      </c>
      <c r="D286" t="inlineStr">
        <is>
          <t>Vendas do dia (qua)</t>
        </is>
      </c>
      <c r="E286" s="3" t="n">
        <v>251.7</v>
      </c>
      <c r="F286" s="3" t="n"/>
      <c r="G286" s="3">
        <f>G285+IFERROR(E286,0)-IFERROR(F286,0)</f>
        <v/>
      </c>
    </row>
    <row r="287">
      <c r="A287" s="2" t="n">
        <v>46128</v>
      </c>
      <c r="B287" t="inlineStr">
        <is>
          <t>Receita</t>
        </is>
      </c>
      <c r="C287" t="inlineStr">
        <is>
          <t>Cartão crédito</t>
        </is>
      </c>
      <c r="D287" t="inlineStr">
        <is>
          <t>Vendas do dia (qui)</t>
        </is>
      </c>
      <c r="E287" s="3" t="n">
        <v>3978.74</v>
      </c>
      <c r="F287" s="3" t="n"/>
      <c r="G287" s="3">
        <f>G286+IFERROR(E287,0)-IFERROR(F287,0)</f>
        <v/>
      </c>
    </row>
    <row r="288">
      <c r="A288" s="2" t="n">
        <v>46128</v>
      </c>
      <c r="B288" t="inlineStr">
        <is>
          <t>Receita</t>
        </is>
      </c>
      <c r="C288" t="inlineStr">
        <is>
          <t>Cartão débito</t>
        </is>
      </c>
      <c r="D288" t="inlineStr">
        <is>
          <t>Vendas do dia (qui)</t>
        </is>
      </c>
      <c r="E288" s="3" t="n">
        <v>1945.16</v>
      </c>
      <c r="F288" s="3" t="n"/>
      <c r="G288" s="3">
        <f>G287+IFERROR(E288,0)-IFERROR(F288,0)</f>
        <v/>
      </c>
    </row>
    <row r="289">
      <c r="A289" s="2" t="n">
        <v>46128</v>
      </c>
      <c r="B289" t="inlineStr">
        <is>
          <t>Receita</t>
        </is>
      </c>
      <c r="C289" t="inlineStr">
        <is>
          <t>PIX</t>
        </is>
      </c>
      <c r="D289" t="inlineStr">
        <is>
          <t>Vendas do dia (qui)</t>
        </is>
      </c>
      <c r="E289" s="3" t="n">
        <v>1591.49</v>
      </c>
      <c r="F289" s="3" t="n"/>
      <c r="G289" s="3">
        <f>G288+IFERROR(E289,0)-IFERROR(F289,0)</f>
        <v/>
      </c>
    </row>
    <row r="290">
      <c r="A290" s="2" t="n">
        <v>46128</v>
      </c>
      <c r="B290" t="inlineStr">
        <is>
          <t>Receita</t>
        </is>
      </c>
      <c r="C290" t="inlineStr">
        <is>
          <t>Dinheiro</t>
        </is>
      </c>
      <c r="D290" t="inlineStr">
        <is>
          <t>Vendas do dia (qui)</t>
        </is>
      </c>
      <c r="E290" s="3" t="n">
        <v>442.08</v>
      </c>
      <c r="F290" s="3" t="n"/>
      <c r="G290" s="3">
        <f>G289+IFERROR(E290,0)-IFERROR(F290,0)</f>
        <v/>
      </c>
    </row>
    <row r="291">
      <c r="A291" s="2" t="n">
        <v>46129</v>
      </c>
      <c r="B291" t="inlineStr">
        <is>
          <t>Despesa variável</t>
        </is>
      </c>
      <c r="C291" t="inlineStr">
        <is>
          <t>Marketing</t>
        </is>
      </c>
      <c r="D291" t="inlineStr">
        <is>
          <t>Tráfego pago — Meta Ads</t>
        </is>
      </c>
      <c r="E291" s="3" t="n"/>
      <c r="F291" s="3" t="n">
        <v>1770</v>
      </c>
      <c r="G291" s="3">
        <f>G290+IFERROR(E291,0)-IFERROR(F291,0)</f>
        <v/>
      </c>
    </row>
    <row r="292">
      <c r="A292" s="2" t="n">
        <v>46129</v>
      </c>
      <c r="B292" t="inlineStr">
        <is>
          <t>Fornecedor</t>
        </is>
      </c>
      <c r="C292" t="inlineStr">
        <is>
          <t>Cárneas</t>
        </is>
      </c>
      <c r="D292" t="inlineStr">
        <is>
          <t>Açougue Boi Forte</t>
        </is>
      </c>
      <c r="E292" s="3" t="n"/>
      <c r="F292" s="3" t="n">
        <v>2847.16</v>
      </c>
      <c r="G292" s="3">
        <f>G291+IFERROR(E292,0)-IFERROR(F292,0)</f>
        <v/>
      </c>
    </row>
    <row r="293">
      <c r="A293" s="2" t="n">
        <v>46129</v>
      </c>
      <c r="B293" t="inlineStr">
        <is>
          <t>Fornecedor</t>
        </is>
      </c>
      <c r="C293" t="inlineStr">
        <is>
          <t>Laticínios</t>
        </is>
      </c>
      <c r="D293" t="inlineStr">
        <is>
          <t>Laticínios semana</t>
        </is>
      </c>
      <c r="E293" s="3" t="n"/>
      <c r="F293" s="3" t="n">
        <v>994.26</v>
      </c>
      <c r="G293" s="3">
        <f>G292+IFERROR(E293,0)-IFERROR(F293,0)</f>
        <v/>
      </c>
    </row>
    <row r="294">
      <c r="A294" s="2" t="n">
        <v>46129</v>
      </c>
      <c r="B294" t="inlineStr">
        <is>
          <t>Receita</t>
        </is>
      </c>
      <c r="C294" t="inlineStr">
        <is>
          <t>Cartão crédito</t>
        </is>
      </c>
      <c r="D294" t="inlineStr">
        <is>
          <t>Vendas do dia (sex)</t>
        </is>
      </c>
      <c r="E294" s="3" t="n">
        <v>4924.85</v>
      </c>
      <c r="F294" s="3" t="n"/>
      <c r="G294" s="3">
        <f>G293+IFERROR(E294,0)-IFERROR(F294,0)</f>
        <v/>
      </c>
    </row>
    <row r="295">
      <c r="A295" s="2" t="n">
        <v>46129</v>
      </c>
      <c r="B295" t="inlineStr">
        <is>
          <t>Receita</t>
        </is>
      </c>
      <c r="C295" t="inlineStr">
        <is>
          <t>Cartão débito</t>
        </is>
      </c>
      <c r="D295" t="inlineStr">
        <is>
          <t>Vendas do dia (sex)</t>
        </is>
      </c>
      <c r="E295" s="3" t="n">
        <v>2407.7</v>
      </c>
      <c r="F295" s="3" t="n"/>
      <c r="G295" s="3">
        <f>G294+IFERROR(E295,0)-IFERROR(F295,0)</f>
        <v/>
      </c>
    </row>
    <row r="296">
      <c r="A296" s="2" t="n">
        <v>46129</v>
      </c>
      <c r="B296" t="inlineStr">
        <is>
          <t>Receita</t>
        </is>
      </c>
      <c r="C296" t="inlineStr">
        <is>
          <t>PIX</t>
        </is>
      </c>
      <c r="D296" t="inlineStr">
        <is>
          <t>Vendas do dia (sex)</t>
        </is>
      </c>
      <c r="E296" s="3" t="n">
        <v>1969.94</v>
      </c>
      <c r="F296" s="3" t="n"/>
      <c r="G296" s="3">
        <f>G295+IFERROR(E296,0)-IFERROR(F296,0)</f>
        <v/>
      </c>
    </row>
    <row r="297">
      <c r="A297" s="2" t="n">
        <v>46129</v>
      </c>
      <c r="B297" t="inlineStr">
        <is>
          <t>Receita</t>
        </is>
      </c>
      <c r="C297" t="inlineStr">
        <is>
          <t>Dinheiro</t>
        </is>
      </c>
      <c r="D297" t="inlineStr">
        <is>
          <t>Vendas do dia (sex)</t>
        </is>
      </c>
      <c r="E297" s="3" t="n">
        <v>547.21</v>
      </c>
      <c r="F297" s="3" t="n"/>
      <c r="G297" s="3">
        <f>G296+IFERROR(E297,0)-IFERROR(F297,0)</f>
        <v/>
      </c>
    </row>
    <row r="298">
      <c r="A298" s="2" t="n">
        <v>46130</v>
      </c>
      <c r="B298" t="inlineStr">
        <is>
          <t>Despesa fixa</t>
        </is>
      </c>
      <c r="C298" t="inlineStr">
        <is>
          <t>Outras operacionais</t>
        </is>
      </c>
      <c r="D298" t="inlineStr">
        <is>
          <t>Despesas operacionais diversas</t>
        </is>
      </c>
      <c r="E298" s="3" t="n"/>
      <c r="F298" s="3" t="n">
        <v>3258.03</v>
      </c>
      <c r="G298" s="3">
        <f>G297+IFERROR(E298,0)-IFERROR(F298,0)</f>
        <v/>
      </c>
    </row>
    <row r="299">
      <c r="A299" s="2" t="n">
        <v>46130</v>
      </c>
      <c r="B299" t="inlineStr">
        <is>
          <t>Despesa variável</t>
        </is>
      </c>
      <c r="C299" t="inlineStr">
        <is>
          <t>Comissão</t>
        </is>
      </c>
      <c r="D299" t="inlineStr">
        <is>
          <t>Comissão garçom (sáb)</t>
        </is>
      </c>
      <c r="E299" s="3" t="n"/>
      <c r="F299" s="3" t="n">
        <v>1000.01</v>
      </c>
      <c r="G299" s="3">
        <f>G298+IFERROR(E299,0)-IFERROR(F299,0)</f>
        <v/>
      </c>
    </row>
    <row r="300">
      <c r="A300" s="2" t="n">
        <v>46130</v>
      </c>
      <c r="B300" t="inlineStr">
        <is>
          <t>Receita</t>
        </is>
      </c>
      <c r="C300" t="inlineStr">
        <is>
          <t>Cartão crédito</t>
        </is>
      </c>
      <c r="D300" t="inlineStr">
        <is>
          <t>Vendas do dia (sáb)</t>
        </is>
      </c>
      <c r="E300" s="3" t="n">
        <v>7670.54</v>
      </c>
      <c r="F300" s="3" t="n"/>
      <c r="G300" s="3">
        <f>G299+IFERROR(E300,0)-IFERROR(F300,0)</f>
        <v/>
      </c>
    </row>
    <row r="301">
      <c r="A301" s="2" t="n">
        <v>46130</v>
      </c>
      <c r="B301" t="inlineStr">
        <is>
          <t>Receita</t>
        </is>
      </c>
      <c r="C301" t="inlineStr">
        <is>
          <t>Cartão débito</t>
        </is>
      </c>
      <c r="D301" t="inlineStr">
        <is>
          <t>Vendas do dia (sáb)</t>
        </is>
      </c>
      <c r="E301" s="3" t="n">
        <v>3750.04</v>
      </c>
      <c r="F301" s="3" t="n"/>
      <c r="G301" s="3">
        <f>G300+IFERROR(E301,0)-IFERROR(F301,0)</f>
        <v/>
      </c>
    </row>
    <row r="302">
      <c r="A302" s="2" t="n">
        <v>46130</v>
      </c>
      <c r="B302" t="inlineStr">
        <is>
          <t>Receita</t>
        </is>
      </c>
      <c r="C302" t="inlineStr">
        <is>
          <t>PIX</t>
        </is>
      </c>
      <c r="D302" t="inlineStr">
        <is>
          <t>Vendas do dia (sáb)</t>
        </is>
      </c>
      <c r="E302" s="3" t="n">
        <v>3068.22</v>
      </c>
      <c r="F302" s="3" t="n"/>
      <c r="G302" s="3">
        <f>G301+IFERROR(E302,0)-IFERROR(F302,0)</f>
        <v/>
      </c>
    </row>
    <row r="303">
      <c r="A303" s="2" t="n">
        <v>46130</v>
      </c>
      <c r="B303" t="inlineStr">
        <is>
          <t>Receita</t>
        </is>
      </c>
      <c r="C303" t="inlineStr">
        <is>
          <t>Dinheiro</t>
        </is>
      </c>
      <c r="D303" t="inlineStr">
        <is>
          <t>Vendas do dia (sáb)</t>
        </is>
      </c>
      <c r="E303" s="3" t="n">
        <v>852.28</v>
      </c>
      <c r="F303" s="3" t="n"/>
      <c r="G303" s="3">
        <f>G302+IFERROR(E303,0)-IFERROR(F303,0)</f>
        <v/>
      </c>
    </row>
    <row r="304">
      <c r="A304" s="2" t="n">
        <v>46130</v>
      </c>
      <c r="B304" t="inlineStr">
        <is>
          <t>Receita</t>
        </is>
      </c>
      <c r="C304" t="inlineStr">
        <is>
          <t>Eventos</t>
        </is>
      </c>
      <c r="D304" t="inlineStr">
        <is>
          <t>Aluguel do salão — confraternização</t>
        </is>
      </c>
      <c r="E304" s="3" t="n">
        <v>5200</v>
      </c>
      <c r="F304" s="3" t="n"/>
      <c r="G304" s="3">
        <f>G303+IFERROR(E304,0)-IFERROR(F304,0)</f>
        <v/>
      </c>
    </row>
    <row r="305">
      <c r="A305" s="2" t="n">
        <v>46131</v>
      </c>
      <c r="B305" t="inlineStr">
        <is>
          <t>Despesa variável</t>
        </is>
      </c>
      <c r="C305" t="inlineStr">
        <is>
          <t>Taxa cartão</t>
        </is>
      </c>
      <c r="D305" t="inlineStr">
        <is>
          <t>Adquirente — taxa abr</t>
        </is>
      </c>
      <c r="E305" s="3" t="n"/>
      <c r="F305" s="3" t="n">
        <v>4380</v>
      </c>
      <c r="G305" s="3">
        <f>G304+IFERROR(E305,0)-IFERROR(F305,0)</f>
        <v/>
      </c>
    </row>
    <row r="306">
      <c r="A306" s="2" t="n">
        <v>46131</v>
      </c>
      <c r="B306" t="inlineStr">
        <is>
          <t>Despesa variável</t>
        </is>
      </c>
      <c r="C306" t="inlineStr">
        <is>
          <t>Comissão</t>
        </is>
      </c>
      <c r="D306" t="inlineStr">
        <is>
          <t>Comissão garçom (dom)</t>
        </is>
      </c>
      <c r="E306" s="3" t="n"/>
      <c r="F306" s="3" t="n">
        <v>1044.46</v>
      </c>
      <c r="G306" s="3">
        <f>G305+IFERROR(E306,0)-IFERROR(F306,0)</f>
        <v/>
      </c>
    </row>
    <row r="307">
      <c r="A307" s="2" t="n">
        <v>46131</v>
      </c>
      <c r="B307" t="inlineStr">
        <is>
          <t>Receita</t>
        </is>
      </c>
      <c r="C307" t="inlineStr">
        <is>
          <t>Cartão crédito</t>
        </is>
      </c>
      <c r="D307" t="inlineStr">
        <is>
          <t>Vendas do dia (dom)</t>
        </is>
      </c>
      <c r="E307" s="3" t="n">
        <v>5785.06</v>
      </c>
      <c r="F307" s="3" t="n"/>
      <c r="G307" s="3">
        <f>G306+IFERROR(E307,0)-IFERROR(F307,0)</f>
        <v/>
      </c>
    </row>
    <row r="308">
      <c r="A308" s="2" t="n">
        <v>46131</v>
      </c>
      <c r="B308" t="inlineStr">
        <is>
          <t>Receita</t>
        </is>
      </c>
      <c r="C308" t="inlineStr">
        <is>
          <t>Cartão débito</t>
        </is>
      </c>
      <c r="D308" t="inlineStr">
        <is>
          <t>Vendas do dia (dom)</t>
        </is>
      </c>
      <c r="E308" s="3" t="n">
        <v>2828.25</v>
      </c>
      <c r="F308" s="3" t="n"/>
      <c r="G308" s="3">
        <f>G307+IFERROR(E308,0)-IFERROR(F308,0)</f>
        <v/>
      </c>
    </row>
    <row r="309">
      <c r="A309" s="2" t="n">
        <v>46131</v>
      </c>
      <c r="B309" t="inlineStr">
        <is>
          <t>Receita</t>
        </is>
      </c>
      <c r="C309" t="inlineStr">
        <is>
          <t>PIX</t>
        </is>
      </c>
      <c r="D309" t="inlineStr">
        <is>
          <t>Vendas do dia (dom)</t>
        </is>
      </c>
      <c r="E309" s="3" t="n">
        <v>2314.02</v>
      </c>
      <c r="F309" s="3" t="n"/>
      <c r="G309" s="3">
        <f>G308+IFERROR(E309,0)-IFERROR(F309,0)</f>
        <v/>
      </c>
    </row>
    <row r="310">
      <c r="A310" s="2" t="n">
        <v>46131</v>
      </c>
      <c r="B310" t="inlineStr">
        <is>
          <t>Receita</t>
        </is>
      </c>
      <c r="C310" t="inlineStr">
        <is>
          <t>Dinheiro</t>
        </is>
      </c>
      <c r="D310" t="inlineStr">
        <is>
          <t>Vendas do dia (dom)</t>
        </is>
      </c>
      <c r="E310" s="3" t="n">
        <v>642.78</v>
      </c>
      <c r="F310" s="3" t="n"/>
      <c r="G310" s="3">
        <f>G309+IFERROR(E310,0)-IFERROR(F310,0)</f>
        <v/>
      </c>
    </row>
    <row r="311">
      <c r="A311" s="2" t="n">
        <v>46132</v>
      </c>
      <c r="B311" t="inlineStr">
        <is>
          <t>Fornecedor</t>
        </is>
      </c>
      <c r="C311" t="inlineStr">
        <is>
          <t>Hortifruti</t>
        </is>
      </c>
      <c r="D311" t="inlineStr">
        <is>
          <t>Feira semanal — Ceasa</t>
        </is>
      </c>
      <c r="E311" s="3" t="n"/>
      <c r="F311" s="3" t="n">
        <v>1391.97</v>
      </c>
      <c r="G311" s="3">
        <f>G310+IFERROR(E311,0)-IFERROR(F311,0)</f>
        <v/>
      </c>
    </row>
    <row r="312">
      <c r="A312" s="2" t="n">
        <v>46132</v>
      </c>
      <c r="B312" t="inlineStr">
        <is>
          <t>Fornecedor</t>
        </is>
      </c>
      <c r="C312" t="inlineStr">
        <is>
          <t>Bebidas</t>
        </is>
      </c>
      <c r="D312" t="inlineStr">
        <is>
          <t>Distribuidora Norte</t>
        </is>
      </c>
      <c r="E312" s="3" t="n"/>
      <c r="F312" s="3" t="n">
        <v>4126.92</v>
      </c>
      <c r="G312" s="3">
        <f>G311+IFERROR(E312,0)-IFERROR(F312,0)</f>
        <v/>
      </c>
    </row>
    <row r="313">
      <c r="A313" s="2" t="n">
        <v>46132</v>
      </c>
      <c r="B313" t="inlineStr">
        <is>
          <t>Imposto</t>
        </is>
      </c>
      <c r="C313" t="inlineStr">
        <is>
          <t>DAS Simples</t>
        </is>
      </c>
      <c r="D313" t="inlineStr">
        <is>
          <t>DAS competência abr</t>
        </is>
      </c>
      <c r="E313" s="3" t="n"/>
      <c r="F313" s="3" t="n">
        <v>16280</v>
      </c>
      <c r="G313" s="3">
        <f>G312+IFERROR(E313,0)-IFERROR(F313,0)</f>
        <v/>
      </c>
    </row>
    <row r="314">
      <c r="A314" s="2" t="n">
        <v>46132</v>
      </c>
      <c r="B314" t="inlineStr">
        <is>
          <t>Receita</t>
        </is>
      </c>
      <c r="C314" t="inlineStr">
        <is>
          <t>Cartão crédito</t>
        </is>
      </c>
      <c r="D314" t="inlineStr">
        <is>
          <t>Vendas do dia (seg)</t>
        </is>
      </c>
      <c r="E314" s="3" t="n">
        <v>2067.16</v>
      </c>
      <c r="F314" s="3" t="n"/>
      <c r="G314" s="3">
        <f>G313+IFERROR(E314,0)-IFERROR(F314,0)</f>
        <v/>
      </c>
    </row>
    <row r="315">
      <c r="A315" s="2" t="n">
        <v>46132</v>
      </c>
      <c r="B315" t="inlineStr">
        <is>
          <t>Receita</t>
        </is>
      </c>
      <c r="C315" t="inlineStr">
        <is>
          <t>Cartão débito</t>
        </is>
      </c>
      <c r="D315" t="inlineStr">
        <is>
          <t>Vendas do dia (seg)</t>
        </is>
      </c>
      <c r="E315" s="3" t="n">
        <v>1010.61</v>
      </c>
      <c r="F315" s="3" t="n"/>
      <c r="G315" s="3">
        <f>G314+IFERROR(E315,0)-IFERROR(F315,0)</f>
        <v/>
      </c>
    </row>
    <row r="316">
      <c r="A316" s="2" t="n">
        <v>46132</v>
      </c>
      <c r="B316" t="inlineStr">
        <is>
          <t>Receita</t>
        </is>
      </c>
      <c r="C316" t="inlineStr">
        <is>
          <t>PIX</t>
        </is>
      </c>
      <c r="D316" t="inlineStr">
        <is>
          <t>Vendas do dia (seg)</t>
        </is>
      </c>
      <c r="E316" s="3" t="n">
        <v>826.86</v>
      </c>
      <c r="F316" s="3" t="n"/>
      <c r="G316" s="3">
        <f>G315+IFERROR(E316,0)-IFERROR(F316,0)</f>
        <v/>
      </c>
    </row>
    <row r="317">
      <c r="A317" s="2" t="n">
        <v>46132</v>
      </c>
      <c r="B317" t="inlineStr">
        <is>
          <t>Receita</t>
        </is>
      </c>
      <c r="C317" t="inlineStr">
        <is>
          <t>Dinheiro</t>
        </is>
      </c>
      <c r="D317" t="inlineStr">
        <is>
          <t>Vendas do dia (seg)</t>
        </is>
      </c>
      <c r="E317" s="3" t="n">
        <v>229.68</v>
      </c>
      <c r="F317" s="3" t="n"/>
      <c r="G317" s="3">
        <f>G316+IFERROR(E317,0)-IFERROR(F317,0)</f>
        <v/>
      </c>
    </row>
    <row r="318">
      <c r="A318" s="2" t="n">
        <v>46133</v>
      </c>
      <c r="B318" t="inlineStr">
        <is>
          <t>Fornecedor</t>
        </is>
      </c>
      <c r="C318" t="inlineStr">
        <is>
          <t>Cárneas</t>
        </is>
      </c>
      <c r="D318" t="inlineStr">
        <is>
          <t>Açougue Boi Forte</t>
        </is>
      </c>
      <c r="E318" s="3" t="n"/>
      <c r="F318" s="3" t="n">
        <v>2560.92</v>
      </c>
      <c r="G318" s="3">
        <f>G317+IFERROR(E318,0)-IFERROR(F318,0)</f>
        <v/>
      </c>
    </row>
    <row r="319">
      <c r="A319" s="2" t="n">
        <v>46133</v>
      </c>
      <c r="B319" t="inlineStr">
        <is>
          <t>Receita</t>
        </is>
      </c>
      <c r="C319" t="inlineStr">
        <is>
          <t>Cartão crédito</t>
        </is>
      </c>
      <c r="D319" t="inlineStr">
        <is>
          <t>Vendas do dia (ter)</t>
        </is>
      </c>
      <c r="E319" s="3" t="n">
        <v>2172.06</v>
      </c>
      <c r="F319" s="3" t="n"/>
      <c r="G319" s="3">
        <f>G318+IFERROR(E319,0)-IFERROR(F319,0)</f>
        <v/>
      </c>
    </row>
    <row r="320">
      <c r="A320" s="2" t="n">
        <v>46133</v>
      </c>
      <c r="B320" t="inlineStr">
        <is>
          <t>Receita</t>
        </is>
      </c>
      <c r="C320" t="inlineStr">
        <is>
          <t>Cartão débito</t>
        </is>
      </c>
      <c r="D320" t="inlineStr">
        <is>
          <t>Vendas do dia (ter)</t>
        </is>
      </c>
      <c r="E320" s="3" t="n">
        <v>1061.9</v>
      </c>
      <c r="F320" s="3" t="n"/>
      <c r="G320" s="3">
        <f>G319+IFERROR(E320,0)-IFERROR(F320,0)</f>
        <v/>
      </c>
    </row>
    <row r="321">
      <c r="A321" s="2" t="n">
        <v>46133</v>
      </c>
      <c r="B321" t="inlineStr">
        <is>
          <t>Receita</t>
        </is>
      </c>
      <c r="C321" t="inlineStr">
        <is>
          <t>PIX</t>
        </is>
      </c>
      <c r="D321" t="inlineStr">
        <is>
          <t>Vendas do dia (ter)</t>
        </is>
      </c>
      <c r="E321" s="3" t="n">
        <v>868.8200000000001</v>
      </c>
      <c r="F321" s="3" t="n"/>
      <c r="G321" s="3">
        <f>G320+IFERROR(E321,0)-IFERROR(F321,0)</f>
        <v/>
      </c>
    </row>
    <row r="322">
      <c r="A322" s="2" t="n">
        <v>46133</v>
      </c>
      <c r="B322" t="inlineStr">
        <is>
          <t>Receita</t>
        </is>
      </c>
      <c r="C322" t="inlineStr">
        <is>
          <t>Dinheiro</t>
        </is>
      </c>
      <c r="D322" t="inlineStr">
        <is>
          <t>Vendas do dia (ter)</t>
        </is>
      </c>
      <c r="E322" s="3" t="n">
        <v>241.34</v>
      </c>
      <c r="F322" s="3" t="n"/>
      <c r="G322" s="3">
        <f>G321+IFERROR(E322,0)-IFERROR(F322,0)</f>
        <v/>
      </c>
    </row>
    <row r="323">
      <c r="A323" s="2" t="n">
        <v>46133</v>
      </c>
      <c r="B323" t="inlineStr">
        <is>
          <t>Receita</t>
        </is>
      </c>
      <c r="C323" t="inlineStr">
        <is>
          <t>iFood</t>
        </is>
      </c>
      <c r="D323" t="inlineStr">
        <is>
          <t>Repasse semanal iFood</t>
        </is>
      </c>
      <c r="E323" s="3" t="n">
        <v>6258.91</v>
      </c>
      <c r="F323" s="3" t="n"/>
      <c r="G323" s="3">
        <f>G322+IFERROR(E323,0)-IFERROR(F323,0)</f>
        <v/>
      </c>
    </row>
    <row r="324">
      <c r="A324" s="2" t="n">
        <v>46134</v>
      </c>
      <c r="B324" t="inlineStr">
        <is>
          <t>Despesa fixa</t>
        </is>
      </c>
      <c r="C324" t="inlineStr">
        <is>
          <t>Água</t>
        </is>
      </c>
      <c r="D324" t="inlineStr">
        <is>
          <t>Cagece — abr/2026</t>
        </is>
      </c>
      <c r="E324" s="3" t="n"/>
      <c r="F324" s="3" t="n">
        <v>1220</v>
      </c>
      <c r="G324" s="3">
        <f>G323+IFERROR(E324,0)-IFERROR(F324,0)</f>
        <v/>
      </c>
    </row>
    <row r="325">
      <c r="A325" s="2" t="n">
        <v>46134</v>
      </c>
      <c r="B325" t="inlineStr">
        <is>
          <t>Fornecedor</t>
        </is>
      </c>
      <c r="C325" t="inlineStr">
        <is>
          <t>Hortifruti</t>
        </is>
      </c>
      <c r="D325" t="inlineStr">
        <is>
          <t>Reposição hortifruti</t>
        </is>
      </c>
      <c r="E325" s="3" t="n"/>
      <c r="F325" s="3" t="n">
        <v>824.6900000000001</v>
      </c>
      <c r="G325" s="3">
        <f>G324+IFERROR(E325,0)-IFERROR(F325,0)</f>
        <v/>
      </c>
    </row>
    <row r="326">
      <c r="A326" s="2" t="n">
        <v>46134</v>
      </c>
      <c r="B326" t="inlineStr">
        <is>
          <t>Fornecedor</t>
        </is>
      </c>
      <c r="C326" t="inlineStr">
        <is>
          <t>Mercearia</t>
        </is>
      </c>
      <c r="D326" t="inlineStr">
        <is>
          <t>Atacado mercearia</t>
        </is>
      </c>
      <c r="E326" s="3" t="n"/>
      <c r="F326" s="3" t="n">
        <v>1949.88</v>
      </c>
      <c r="G326" s="3">
        <f>G325+IFERROR(E326,0)-IFERROR(F326,0)</f>
        <v/>
      </c>
    </row>
    <row r="327">
      <c r="A327" s="2" t="n">
        <v>46134</v>
      </c>
      <c r="B327" t="inlineStr">
        <is>
          <t>Receita</t>
        </is>
      </c>
      <c r="C327" t="inlineStr">
        <is>
          <t>Cartão crédito</t>
        </is>
      </c>
      <c r="D327" t="inlineStr">
        <is>
          <t>Vendas do dia (qua)</t>
        </is>
      </c>
      <c r="E327" s="3" t="n">
        <v>2915.57</v>
      </c>
      <c r="F327" s="3" t="n"/>
      <c r="G327" s="3">
        <f>G326+IFERROR(E327,0)-IFERROR(F327,0)</f>
        <v/>
      </c>
    </row>
    <row r="328">
      <c r="A328" s="2" t="n">
        <v>46134</v>
      </c>
      <c r="B328" t="inlineStr">
        <is>
          <t>Receita</t>
        </is>
      </c>
      <c r="C328" t="inlineStr">
        <is>
          <t>Cartão débito</t>
        </is>
      </c>
      <c r="D328" t="inlineStr">
        <is>
          <t>Vendas do dia (qua)</t>
        </is>
      </c>
      <c r="E328" s="3" t="n">
        <v>1425.39</v>
      </c>
      <c r="F328" s="3" t="n"/>
      <c r="G328" s="3">
        <f>G327+IFERROR(E328,0)-IFERROR(F328,0)</f>
        <v/>
      </c>
    </row>
    <row r="329">
      <c r="A329" s="2" t="n">
        <v>46134</v>
      </c>
      <c r="B329" t="inlineStr">
        <is>
          <t>Receita</t>
        </is>
      </c>
      <c r="C329" t="inlineStr">
        <is>
          <t>PIX</t>
        </is>
      </c>
      <c r="D329" t="inlineStr">
        <is>
          <t>Vendas do dia (qua)</t>
        </is>
      </c>
      <c r="E329" s="3" t="n">
        <v>1166.23</v>
      </c>
      <c r="F329" s="3" t="n"/>
      <c r="G329" s="3">
        <f>G328+IFERROR(E329,0)-IFERROR(F329,0)</f>
        <v/>
      </c>
    </row>
    <row r="330">
      <c r="A330" s="2" t="n">
        <v>46134</v>
      </c>
      <c r="B330" t="inlineStr">
        <is>
          <t>Receita</t>
        </is>
      </c>
      <c r="C330" t="inlineStr">
        <is>
          <t>Dinheiro</t>
        </is>
      </c>
      <c r="D330" t="inlineStr">
        <is>
          <t>Vendas do dia (qua)</t>
        </is>
      </c>
      <c r="E330" s="3" t="n">
        <v>323.95</v>
      </c>
      <c r="F330" s="3" t="n"/>
      <c r="G330" s="3">
        <f>G329+IFERROR(E330,0)-IFERROR(F330,0)</f>
        <v/>
      </c>
    </row>
    <row r="331">
      <c r="A331" s="2" t="n">
        <v>46135</v>
      </c>
      <c r="B331" t="inlineStr">
        <is>
          <t>Despesa fixa</t>
        </is>
      </c>
      <c r="C331" t="inlineStr">
        <is>
          <t>Internet + telefonia</t>
        </is>
      </c>
      <c r="D331" t="inlineStr">
        <is>
          <t>Internet + telefonia</t>
        </is>
      </c>
      <c r="E331" s="3" t="n"/>
      <c r="F331" s="3" t="n">
        <v>480</v>
      </c>
      <c r="G331" s="3">
        <f>G330+IFERROR(E331,0)-IFERROR(F331,0)</f>
        <v/>
      </c>
    </row>
    <row r="332">
      <c r="A332" s="2" t="n">
        <v>46135</v>
      </c>
      <c r="B332" t="inlineStr">
        <is>
          <t>Receita</t>
        </is>
      </c>
      <c r="C332" t="inlineStr">
        <is>
          <t>Cartão crédito</t>
        </is>
      </c>
      <c r="D332" t="inlineStr">
        <is>
          <t>Vendas do dia (qui)</t>
        </is>
      </c>
      <c r="E332" s="3" t="n">
        <v>3645</v>
      </c>
      <c r="F332" s="3" t="n"/>
      <c r="G332" s="3">
        <f>G331+IFERROR(E332,0)-IFERROR(F332,0)</f>
        <v/>
      </c>
    </row>
    <row r="333">
      <c r="A333" s="2" t="n">
        <v>46135</v>
      </c>
      <c r="B333" t="inlineStr">
        <is>
          <t>Receita</t>
        </is>
      </c>
      <c r="C333" t="inlineStr">
        <is>
          <t>Cartão débito</t>
        </is>
      </c>
      <c r="D333" t="inlineStr">
        <is>
          <t>Vendas do dia (qui)</t>
        </is>
      </c>
      <c r="E333" s="3" t="n">
        <v>1782</v>
      </c>
      <c r="F333" s="3" t="n"/>
      <c r="G333" s="3">
        <f>G332+IFERROR(E333,0)-IFERROR(F333,0)</f>
        <v/>
      </c>
    </row>
    <row r="334">
      <c r="A334" s="2" t="n">
        <v>46135</v>
      </c>
      <c r="B334" t="inlineStr">
        <is>
          <t>Receita</t>
        </is>
      </c>
      <c r="C334" t="inlineStr">
        <is>
          <t>PIX</t>
        </is>
      </c>
      <c r="D334" t="inlineStr">
        <is>
          <t>Vendas do dia (qui)</t>
        </is>
      </c>
      <c r="E334" s="3" t="n">
        <v>1458</v>
      </c>
      <c r="F334" s="3" t="n"/>
      <c r="G334" s="3">
        <f>G333+IFERROR(E334,0)-IFERROR(F334,0)</f>
        <v/>
      </c>
    </row>
    <row r="335">
      <c r="A335" s="2" t="n">
        <v>46135</v>
      </c>
      <c r="B335" t="inlineStr">
        <is>
          <t>Receita</t>
        </is>
      </c>
      <c r="C335" t="inlineStr">
        <is>
          <t>Dinheiro</t>
        </is>
      </c>
      <c r="D335" t="inlineStr">
        <is>
          <t>Vendas do dia (qui)</t>
        </is>
      </c>
      <c r="E335" s="3" t="n">
        <v>405</v>
      </c>
      <c r="F335" s="3" t="n"/>
      <c r="G335" s="3">
        <f>G334+IFERROR(E335,0)-IFERROR(F335,0)</f>
        <v/>
      </c>
    </row>
    <row r="336">
      <c r="A336" s="2" t="n">
        <v>46136</v>
      </c>
      <c r="B336" t="inlineStr">
        <is>
          <t>Despesa fixa</t>
        </is>
      </c>
      <c r="C336" t="inlineStr">
        <is>
          <t>Software</t>
        </is>
      </c>
      <c r="D336" t="inlineStr">
        <is>
          <t>PDV + ERP</t>
        </is>
      </c>
      <c r="E336" s="3" t="n"/>
      <c r="F336" s="3" t="n">
        <v>890</v>
      </c>
      <c r="G336" s="3">
        <f>G335+IFERROR(E336,0)-IFERROR(F336,0)</f>
        <v/>
      </c>
    </row>
    <row r="337">
      <c r="A337" s="2" t="n">
        <v>46136</v>
      </c>
      <c r="B337" t="inlineStr">
        <is>
          <t>Fornecedor</t>
        </is>
      </c>
      <c r="C337" t="inlineStr">
        <is>
          <t>Cárneas</t>
        </is>
      </c>
      <c r="D337" t="inlineStr">
        <is>
          <t>Açougue Boi Forte</t>
        </is>
      </c>
      <c r="E337" s="3" t="n"/>
      <c r="F337" s="3" t="n">
        <v>3394.18</v>
      </c>
      <c r="G337" s="3">
        <f>G336+IFERROR(E337,0)-IFERROR(F337,0)</f>
        <v/>
      </c>
    </row>
    <row r="338">
      <c r="A338" s="2" t="n">
        <v>46136</v>
      </c>
      <c r="B338" t="inlineStr">
        <is>
          <t>Fornecedor</t>
        </is>
      </c>
      <c r="C338" t="inlineStr">
        <is>
          <t>Laticínios</t>
        </is>
      </c>
      <c r="D338" t="inlineStr">
        <is>
          <t>Laticínios semana</t>
        </is>
      </c>
      <c r="E338" s="3" t="n"/>
      <c r="F338" s="3" t="n">
        <v>885.5</v>
      </c>
      <c r="G338" s="3">
        <f>G337+IFERROR(E338,0)-IFERROR(F338,0)</f>
        <v/>
      </c>
    </row>
    <row r="339">
      <c r="A339" s="2" t="n">
        <v>46136</v>
      </c>
      <c r="B339" t="inlineStr">
        <is>
          <t>Receita</t>
        </is>
      </c>
      <c r="C339" t="inlineStr">
        <is>
          <t>Cartão crédito</t>
        </is>
      </c>
      <c r="D339" t="inlineStr">
        <is>
          <t>Vendas do dia (sex)</t>
        </is>
      </c>
      <c r="E339" s="3" t="n">
        <v>4801.88</v>
      </c>
      <c r="F339" s="3" t="n"/>
      <c r="G339" s="3">
        <f>G338+IFERROR(E339,0)-IFERROR(F339,0)</f>
        <v/>
      </c>
    </row>
    <row r="340">
      <c r="A340" s="2" t="n">
        <v>46136</v>
      </c>
      <c r="B340" t="inlineStr">
        <is>
          <t>Receita</t>
        </is>
      </c>
      <c r="C340" t="inlineStr">
        <is>
          <t>Cartão débito</t>
        </is>
      </c>
      <c r="D340" t="inlineStr">
        <is>
          <t>Vendas do dia (sex)</t>
        </is>
      </c>
      <c r="E340" s="3" t="n">
        <v>2347.59</v>
      </c>
      <c r="F340" s="3" t="n"/>
      <c r="G340" s="3">
        <f>G339+IFERROR(E340,0)-IFERROR(F340,0)</f>
        <v/>
      </c>
    </row>
    <row r="341">
      <c r="A341" s="2" t="n">
        <v>46136</v>
      </c>
      <c r="B341" t="inlineStr">
        <is>
          <t>Receita</t>
        </is>
      </c>
      <c r="C341" t="inlineStr">
        <is>
          <t>PIX</t>
        </is>
      </c>
      <c r="D341" t="inlineStr">
        <is>
          <t>Vendas do dia (sex)</t>
        </is>
      </c>
      <c r="E341" s="3" t="n">
        <v>1920.75</v>
      </c>
      <c r="F341" s="3" t="n"/>
      <c r="G341" s="3">
        <f>G340+IFERROR(E341,0)-IFERROR(F341,0)</f>
        <v/>
      </c>
    </row>
    <row r="342">
      <c r="A342" s="2" t="n">
        <v>46136</v>
      </c>
      <c r="B342" t="inlineStr">
        <is>
          <t>Receita</t>
        </is>
      </c>
      <c r="C342" t="inlineStr">
        <is>
          <t>Dinheiro</t>
        </is>
      </c>
      <c r="D342" t="inlineStr">
        <is>
          <t>Vendas do dia (sex)</t>
        </is>
      </c>
      <c r="E342" s="3" t="n">
        <v>533.54</v>
      </c>
      <c r="F342" s="3" t="n"/>
      <c r="G342" s="3">
        <f>G341+IFERROR(E342,0)-IFERROR(F342,0)</f>
        <v/>
      </c>
    </row>
    <row r="343">
      <c r="A343" s="2" t="n">
        <v>46137</v>
      </c>
      <c r="B343" t="inlineStr">
        <is>
          <t>Despesa fixa</t>
        </is>
      </c>
      <c r="C343" t="inlineStr">
        <is>
          <t>Contabilidade</t>
        </is>
      </c>
      <c r="D343" t="inlineStr">
        <is>
          <t>Escritório contábil</t>
        </is>
      </c>
      <c r="E343" s="3" t="n"/>
      <c r="F343" s="3" t="n">
        <v>1450</v>
      </c>
      <c r="G343" s="3">
        <f>G342+IFERROR(E343,0)-IFERROR(F343,0)</f>
        <v/>
      </c>
    </row>
    <row r="344">
      <c r="A344" s="2" t="n">
        <v>46137</v>
      </c>
      <c r="B344" t="inlineStr">
        <is>
          <t>Despesa variável</t>
        </is>
      </c>
      <c r="C344" t="inlineStr">
        <is>
          <t>Comissão</t>
        </is>
      </c>
      <c r="D344" t="inlineStr">
        <is>
          <t>Comissão garçom (sáb)</t>
        </is>
      </c>
      <c r="E344" s="3" t="n"/>
      <c r="F344" s="3" t="n">
        <v>1156</v>
      </c>
      <c r="G344" s="3">
        <f>G343+IFERROR(E344,0)-IFERROR(F344,0)</f>
        <v/>
      </c>
    </row>
    <row r="345">
      <c r="A345" s="2" t="n">
        <v>46137</v>
      </c>
      <c r="B345" t="inlineStr">
        <is>
          <t>Fornecedor</t>
        </is>
      </c>
      <c r="C345" t="inlineStr">
        <is>
          <t>Descartáveis</t>
        </is>
      </c>
      <c r="D345" t="inlineStr">
        <is>
          <t>Embalagens Sul</t>
        </is>
      </c>
      <c r="E345" s="3" t="n"/>
      <c r="F345" s="3" t="n">
        <v>1420</v>
      </c>
      <c r="G345" s="3">
        <f>G344+IFERROR(E345,0)-IFERROR(F345,0)</f>
        <v/>
      </c>
    </row>
    <row r="346">
      <c r="A346" s="2" t="n">
        <v>46137</v>
      </c>
      <c r="B346" t="inlineStr">
        <is>
          <t>Receita</t>
        </is>
      </c>
      <c r="C346" t="inlineStr">
        <is>
          <t>Cartão crédito</t>
        </is>
      </c>
      <c r="D346" t="inlineStr">
        <is>
          <t>Vendas do dia (sáb)</t>
        </is>
      </c>
      <c r="E346" s="3" t="n">
        <v>7840.38</v>
      </c>
      <c r="F346" s="3" t="n"/>
      <c r="G346" s="3">
        <f>G345+IFERROR(E346,0)-IFERROR(F346,0)</f>
        <v/>
      </c>
    </row>
    <row r="347">
      <c r="A347" s="2" t="n">
        <v>46137</v>
      </c>
      <c r="B347" t="inlineStr">
        <is>
          <t>Receita</t>
        </is>
      </c>
      <c r="C347" t="inlineStr">
        <is>
          <t>Cartão débito</t>
        </is>
      </c>
      <c r="D347" t="inlineStr">
        <is>
          <t>Vendas do dia (sáb)</t>
        </is>
      </c>
      <c r="E347" s="3" t="n">
        <v>3833.08</v>
      </c>
      <c r="F347" s="3" t="n"/>
      <c r="G347" s="3">
        <f>G346+IFERROR(E347,0)-IFERROR(F347,0)</f>
        <v/>
      </c>
    </row>
    <row r="348">
      <c r="A348" s="2" t="n">
        <v>46137</v>
      </c>
      <c r="B348" t="inlineStr">
        <is>
          <t>Receita</t>
        </is>
      </c>
      <c r="C348" t="inlineStr">
        <is>
          <t>PIX</t>
        </is>
      </c>
      <c r="D348" t="inlineStr">
        <is>
          <t>Vendas do dia (sáb)</t>
        </is>
      </c>
      <c r="E348" s="3" t="n">
        <v>3136.15</v>
      </c>
      <c r="F348" s="3" t="n"/>
      <c r="G348" s="3">
        <f>G347+IFERROR(E348,0)-IFERROR(F348,0)</f>
        <v/>
      </c>
    </row>
    <row r="349">
      <c r="A349" s="2" t="n">
        <v>46137</v>
      </c>
      <c r="B349" t="inlineStr">
        <is>
          <t>Receita</t>
        </is>
      </c>
      <c r="C349" t="inlineStr">
        <is>
          <t>Dinheiro</t>
        </is>
      </c>
      <c r="D349" t="inlineStr">
        <is>
          <t>Vendas do dia (sáb)</t>
        </is>
      </c>
      <c r="E349" s="3" t="n">
        <v>871.15</v>
      </c>
      <c r="F349" s="3" t="n"/>
      <c r="G349" s="3">
        <f>G348+IFERROR(E349,0)-IFERROR(F349,0)</f>
        <v/>
      </c>
    </row>
    <row r="350">
      <c r="A350" s="2" t="n">
        <v>46138</v>
      </c>
      <c r="B350" t="inlineStr">
        <is>
          <t>Despesa fixa</t>
        </is>
      </c>
      <c r="C350" t="inlineStr">
        <is>
          <t>Outras operacionais</t>
        </is>
      </c>
      <c r="D350" t="inlineStr">
        <is>
          <t>Despesas operacionais diversas</t>
        </is>
      </c>
      <c r="E350" s="3" t="n"/>
      <c r="F350" s="3" t="n">
        <v>4370.35</v>
      </c>
      <c r="G350" s="3">
        <f>G349+IFERROR(E350,0)-IFERROR(F350,0)</f>
        <v/>
      </c>
    </row>
    <row r="351">
      <c r="A351" s="2" t="n">
        <v>46138</v>
      </c>
      <c r="B351" t="inlineStr">
        <is>
          <t>Despesa variável</t>
        </is>
      </c>
      <c r="C351" t="inlineStr">
        <is>
          <t>Comissão</t>
        </is>
      </c>
      <c r="D351" t="inlineStr">
        <is>
          <t>Comissão garçom (dom)</t>
        </is>
      </c>
      <c r="E351" s="3" t="n"/>
      <c r="F351" s="3" t="n">
        <v>1138.45</v>
      </c>
      <c r="G351" s="3">
        <f>G350+IFERROR(E351,0)-IFERROR(F351,0)</f>
        <v/>
      </c>
    </row>
    <row r="352">
      <c r="A352" s="2" t="n">
        <v>46138</v>
      </c>
      <c r="B352" t="inlineStr">
        <is>
          <t>Receita</t>
        </is>
      </c>
      <c r="C352" t="inlineStr">
        <is>
          <t>Cartão crédito</t>
        </is>
      </c>
      <c r="D352" t="inlineStr">
        <is>
          <t>Vendas do dia (dom)</t>
        </is>
      </c>
      <c r="E352" s="3" t="n">
        <v>7296.42</v>
      </c>
      <c r="F352" s="3" t="n"/>
      <c r="G352" s="3">
        <f>G351+IFERROR(E352,0)-IFERROR(F352,0)</f>
        <v/>
      </c>
    </row>
    <row r="353">
      <c r="A353" s="2" t="n">
        <v>46138</v>
      </c>
      <c r="B353" t="inlineStr">
        <is>
          <t>Receita</t>
        </is>
      </c>
      <c r="C353" t="inlineStr">
        <is>
          <t>Cartão débito</t>
        </is>
      </c>
      <c r="D353" t="inlineStr">
        <is>
          <t>Vendas do dia (dom)</t>
        </is>
      </c>
      <c r="E353" s="3" t="n">
        <v>3567.14</v>
      </c>
      <c r="F353" s="3" t="n"/>
      <c r="G353" s="3">
        <f>G352+IFERROR(E353,0)-IFERROR(F353,0)</f>
        <v/>
      </c>
    </row>
    <row r="354">
      <c r="A354" s="2" t="n">
        <v>46138</v>
      </c>
      <c r="B354" t="inlineStr">
        <is>
          <t>Receita</t>
        </is>
      </c>
      <c r="C354" t="inlineStr">
        <is>
          <t>PIX</t>
        </is>
      </c>
      <c r="D354" t="inlineStr">
        <is>
          <t>Vendas do dia (dom)</t>
        </is>
      </c>
      <c r="E354" s="3" t="n">
        <v>2918.57</v>
      </c>
      <c r="F354" s="3" t="n"/>
      <c r="G354" s="3">
        <f>G353+IFERROR(E354,0)-IFERROR(F354,0)</f>
        <v/>
      </c>
    </row>
    <row r="355">
      <c r="A355" s="2" t="n">
        <v>46138</v>
      </c>
      <c r="B355" t="inlineStr">
        <is>
          <t>Receita</t>
        </is>
      </c>
      <c r="C355" t="inlineStr">
        <is>
          <t>Dinheiro</t>
        </is>
      </c>
      <c r="D355" t="inlineStr">
        <is>
          <t>Vendas do dia (dom)</t>
        </is>
      </c>
      <c r="E355" s="3" t="n">
        <v>810.71</v>
      </c>
      <c r="F355" s="3" t="n"/>
      <c r="G355" s="3">
        <f>G354+IFERROR(E355,0)-IFERROR(F355,0)</f>
        <v/>
      </c>
    </row>
    <row r="356">
      <c r="A356" s="2" t="n">
        <v>46139</v>
      </c>
      <c r="B356" t="inlineStr">
        <is>
          <t>Fornecedor</t>
        </is>
      </c>
      <c r="C356" t="inlineStr">
        <is>
          <t>Hortifruti</t>
        </is>
      </c>
      <c r="D356" t="inlineStr">
        <is>
          <t>Feira semanal — Ceasa</t>
        </is>
      </c>
      <c r="E356" s="3" t="n"/>
      <c r="F356" s="3" t="n">
        <v>1359.95</v>
      </c>
      <c r="G356" s="3">
        <f>G355+IFERROR(E356,0)-IFERROR(F356,0)</f>
        <v/>
      </c>
    </row>
    <row r="357">
      <c r="A357" s="2" t="n">
        <v>46139</v>
      </c>
      <c r="B357" t="inlineStr">
        <is>
          <t>Fornecedor</t>
        </is>
      </c>
      <c r="C357" t="inlineStr">
        <is>
          <t>Bebidas</t>
        </is>
      </c>
      <c r="D357" t="inlineStr">
        <is>
          <t>Distribuidora Norte</t>
        </is>
      </c>
      <c r="E357" s="3" t="n"/>
      <c r="F357" s="3" t="n">
        <v>4310.35</v>
      </c>
      <c r="G357" s="3">
        <f>G356+IFERROR(E357,0)-IFERROR(F357,0)</f>
        <v/>
      </c>
    </row>
    <row r="358">
      <c r="A358" s="2" t="n">
        <v>46139</v>
      </c>
      <c r="B358" t="inlineStr">
        <is>
          <t>Receita</t>
        </is>
      </c>
      <c r="C358" t="inlineStr">
        <is>
          <t>Cartão crédito</t>
        </is>
      </c>
      <c r="D358" t="inlineStr">
        <is>
          <t>Vendas do dia (seg)</t>
        </is>
      </c>
      <c r="E358" s="3" t="n">
        <v>2098.8</v>
      </c>
      <c r="F358" s="3" t="n"/>
      <c r="G358" s="3">
        <f>G357+IFERROR(E358,0)-IFERROR(F358,0)</f>
        <v/>
      </c>
    </row>
    <row r="359">
      <c r="A359" s="2" t="n">
        <v>46139</v>
      </c>
      <c r="B359" t="inlineStr">
        <is>
          <t>Receita</t>
        </is>
      </c>
      <c r="C359" t="inlineStr">
        <is>
          <t>Cartão débito</t>
        </is>
      </c>
      <c r="D359" t="inlineStr">
        <is>
          <t>Vendas do dia (seg)</t>
        </is>
      </c>
      <c r="E359" s="3" t="n">
        <v>1026.08</v>
      </c>
      <c r="F359" s="3" t="n"/>
      <c r="G359" s="3">
        <f>G358+IFERROR(E359,0)-IFERROR(F359,0)</f>
        <v/>
      </c>
    </row>
    <row r="360">
      <c r="A360" s="2" t="n">
        <v>46139</v>
      </c>
      <c r="B360" t="inlineStr">
        <is>
          <t>Receita</t>
        </is>
      </c>
      <c r="C360" t="inlineStr">
        <is>
          <t>PIX</t>
        </is>
      </c>
      <c r="D360" t="inlineStr">
        <is>
          <t>Vendas do dia (seg)</t>
        </is>
      </c>
      <c r="E360" s="3" t="n">
        <v>839.52</v>
      </c>
      <c r="F360" s="3" t="n"/>
      <c r="G360" s="3">
        <f>G359+IFERROR(E360,0)-IFERROR(F360,0)</f>
        <v/>
      </c>
    </row>
    <row r="361">
      <c r="A361" s="2" t="n">
        <v>46139</v>
      </c>
      <c r="B361" t="inlineStr">
        <is>
          <t>Receita</t>
        </is>
      </c>
      <c r="C361" t="inlineStr">
        <is>
          <t>Dinheiro</t>
        </is>
      </c>
      <c r="D361" t="inlineStr">
        <is>
          <t>Vendas do dia (seg)</t>
        </is>
      </c>
      <c r="E361" s="3" t="n">
        <v>233.2</v>
      </c>
      <c r="F361" s="3" t="n"/>
      <c r="G361" s="3">
        <f>G360+IFERROR(E361,0)-IFERROR(F361,0)</f>
        <v/>
      </c>
    </row>
    <row r="362">
      <c r="A362" s="2" t="n">
        <v>46140</v>
      </c>
      <c r="B362" t="inlineStr">
        <is>
          <t>Fornecedor</t>
        </is>
      </c>
      <c r="C362" t="inlineStr">
        <is>
          <t>Cárneas</t>
        </is>
      </c>
      <c r="D362" t="inlineStr">
        <is>
          <t>Açougue Boi Forte</t>
        </is>
      </c>
      <c r="E362" s="3" t="n"/>
      <c r="F362" s="3" t="n">
        <v>2750.48</v>
      </c>
      <c r="G362" s="3">
        <f>G361+IFERROR(E362,0)-IFERROR(F362,0)</f>
        <v/>
      </c>
    </row>
    <row r="363">
      <c r="A363" s="2" t="n">
        <v>46140</v>
      </c>
      <c r="B363" t="inlineStr">
        <is>
          <t>Receita</t>
        </is>
      </c>
      <c r="C363" t="inlineStr">
        <is>
          <t>Cartão crédito</t>
        </is>
      </c>
      <c r="D363" t="inlineStr">
        <is>
          <t>Vendas do dia (ter)</t>
        </is>
      </c>
      <c r="E363" s="3" t="n">
        <v>2231.14</v>
      </c>
      <c r="F363" s="3" t="n"/>
      <c r="G363" s="3">
        <f>G362+IFERROR(E363,0)-IFERROR(F363,0)</f>
        <v/>
      </c>
    </row>
    <row r="364">
      <c r="A364" s="2" t="n">
        <v>46140</v>
      </c>
      <c r="B364" t="inlineStr">
        <is>
          <t>Receita</t>
        </is>
      </c>
      <c r="C364" t="inlineStr">
        <is>
          <t>Cartão débito</t>
        </is>
      </c>
      <c r="D364" t="inlineStr">
        <is>
          <t>Vendas do dia (ter)</t>
        </is>
      </c>
      <c r="E364" s="3" t="n">
        <v>1090.78</v>
      </c>
      <c r="F364" s="3" t="n"/>
      <c r="G364" s="3">
        <f>G363+IFERROR(E364,0)-IFERROR(F364,0)</f>
        <v/>
      </c>
    </row>
    <row r="365">
      <c r="A365" s="2" t="n">
        <v>46140</v>
      </c>
      <c r="B365" t="inlineStr">
        <is>
          <t>Receita</t>
        </is>
      </c>
      <c r="C365" t="inlineStr">
        <is>
          <t>PIX</t>
        </is>
      </c>
      <c r="D365" t="inlineStr">
        <is>
          <t>Vendas do dia (ter)</t>
        </is>
      </c>
      <c r="E365" s="3" t="n">
        <v>892.46</v>
      </c>
      <c r="F365" s="3" t="n"/>
      <c r="G365" s="3">
        <f>G364+IFERROR(E365,0)-IFERROR(F365,0)</f>
        <v/>
      </c>
    </row>
    <row r="366">
      <c r="A366" s="2" t="n">
        <v>46140</v>
      </c>
      <c r="B366" t="inlineStr">
        <is>
          <t>Receita</t>
        </is>
      </c>
      <c r="C366" t="inlineStr">
        <is>
          <t>Dinheiro</t>
        </is>
      </c>
      <c r="D366" t="inlineStr">
        <is>
          <t>Vendas do dia (ter)</t>
        </is>
      </c>
      <c r="E366" s="3" t="n">
        <v>247.9</v>
      </c>
      <c r="F366" s="3" t="n"/>
      <c r="G366" s="3">
        <f>G365+IFERROR(E366,0)-IFERROR(F366,0)</f>
        <v/>
      </c>
    </row>
    <row r="367">
      <c r="A367" s="2" t="n">
        <v>46140</v>
      </c>
      <c r="B367" t="inlineStr">
        <is>
          <t>Receita</t>
        </is>
      </c>
      <c r="C367" t="inlineStr">
        <is>
          <t>iFood</t>
        </is>
      </c>
      <c r="D367" t="inlineStr">
        <is>
          <t>Repasse semanal iFood</t>
        </is>
      </c>
      <c r="E367" s="3" t="n">
        <v>5564.2</v>
      </c>
      <c r="F367" s="3" t="n"/>
      <c r="G367" s="3">
        <f>G366+IFERROR(E367,0)-IFERROR(F367,0)</f>
        <v/>
      </c>
    </row>
    <row r="368">
      <c r="A368" s="2" t="n">
        <v>46141</v>
      </c>
      <c r="B368" t="inlineStr">
        <is>
          <t>Fornecedor</t>
        </is>
      </c>
      <c r="C368" t="inlineStr">
        <is>
          <t>Hortifruti</t>
        </is>
      </c>
      <c r="D368" t="inlineStr">
        <is>
          <t>Reposição hortifruti</t>
        </is>
      </c>
      <c r="E368" s="3" t="n"/>
      <c r="F368" s="3" t="n">
        <v>907.03</v>
      </c>
      <c r="G368" s="3">
        <f>G367+IFERROR(E368,0)-IFERROR(F368,0)</f>
        <v/>
      </c>
    </row>
    <row r="369">
      <c r="A369" s="2" t="n">
        <v>46141</v>
      </c>
      <c r="B369" t="inlineStr">
        <is>
          <t>Fornecedor</t>
        </is>
      </c>
      <c r="C369" t="inlineStr">
        <is>
          <t>Mercearia</t>
        </is>
      </c>
      <c r="D369" t="inlineStr">
        <is>
          <t>Atacado mercearia</t>
        </is>
      </c>
      <c r="E369" s="3" t="n"/>
      <c r="F369" s="3" t="n">
        <v>2353.96</v>
      </c>
      <c r="G369" s="3">
        <f>G368+IFERROR(E369,0)-IFERROR(F369,0)</f>
        <v/>
      </c>
    </row>
    <row r="370">
      <c r="A370" s="2" t="n">
        <v>46141</v>
      </c>
      <c r="B370" t="inlineStr">
        <is>
          <t>Receita</t>
        </is>
      </c>
      <c r="C370" t="inlineStr">
        <is>
          <t>Cartão crédito</t>
        </is>
      </c>
      <c r="D370" t="inlineStr">
        <is>
          <t>Vendas do dia (qua)</t>
        </is>
      </c>
      <c r="E370" s="3" t="n">
        <v>2308.91</v>
      </c>
      <c r="F370" s="3" t="n"/>
      <c r="G370" s="3">
        <f>G369+IFERROR(E370,0)-IFERROR(F370,0)</f>
        <v/>
      </c>
    </row>
    <row r="371">
      <c r="A371" s="2" t="n">
        <v>46141</v>
      </c>
      <c r="B371" t="inlineStr">
        <is>
          <t>Receita</t>
        </is>
      </c>
      <c r="C371" t="inlineStr">
        <is>
          <t>Cartão débito</t>
        </is>
      </c>
      <c r="D371" t="inlineStr">
        <is>
          <t>Vendas do dia (qua)</t>
        </is>
      </c>
      <c r="E371" s="3" t="n">
        <v>1128.8</v>
      </c>
      <c r="F371" s="3" t="n"/>
      <c r="G371" s="3">
        <f>G370+IFERROR(E371,0)-IFERROR(F371,0)</f>
        <v/>
      </c>
    </row>
    <row r="372">
      <c r="A372" s="2" t="n">
        <v>46141</v>
      </c>
      <c r="B372" t="inlineStr">
        <is>
          <t>Receita</t>
        </is>
      </c>
      <c r="C372" t="inlineStr">
        <is>
          <t>PIX</t>
        </is>
      </c>
      <c r="D372" t="inlineStr">
        <is>
          <t>Vendas do dia (qua)</t>
        </is>
      </c>
      <c r="E372" s="3" t="n">
        <v>923.5599999999999</v>
      </c>
      <c r="F372" s="3" t="n"/>
      <c r="G372" s="3">
        <f>G371+IFERROR(E372,0)-IFERROR(F372,0)</f>
        <v/>
      </c>
    </row>
    <row r="373">
      <c r="A373" s="2" t="n">
        <v>46141</v>
      </c>
      <c r="B373" t="inlineStr">
        <is>
          <t>Receita</t>
        </is>
      </c>
      <c r="C373" t="inlineStr">
        <is>
          <t>Dinheiro</t>
        </is>
      </c>
      <c r="D373" t="inlineStr">
        <is>
          <t>Vendas do dia (qua)</t>
        </is>
      </c>
      <c r="E373" s="3" t="n">
        <v>256.55</v>
      </c>
      <c r="F373" s="3" t="n"/>
      <c r="G373" s="3">
        <f>G372+IFERROR(E373,0)-IFERROR(F373,0)</f>
        <v/>
      </c>
    </row>
    <row r="374">
      <c r="A374" s="2" t="n">
        <v>46142</v>
      </c>
      <c r="B374" t="inlineStr">
        <is>
          <t>Despesa fixa</t>
        </is>
      </c>
      <c r="C374" t="inlineStr">
        <is>
          <t>Folha</t>
        </is>
      </c>
      <c r="D374" t="inlineStr">
        <is>
          <t>Folha 2ª quinzena</t>
        </is>
      </c>
      <c r="E374" s="3" t="n"/>
      <c r="F374" s="3" t="n">
        <v>26760</v>
      </c>
      <c r="G374" s="3">
        <f>G373+IFERROR(E374,0)-IFERROR(F374,0)</f>
        <v/>
      </c>
    </row>
    <row r="375">
      <c r="A375" s="2" t="n">
        <v>46142</v>
      </c>
      <c r="B375" t="inlineStr">
        <is>
          <t>Receita</t>
        </is>
      </c>
      <c r="C375" t="inlineStr">
        <is>
          <t>Cartão crédito</t>
        </is>
      </c>
      <c r="D375" t="inlineStr">
        <is>
          <t>Vendas do dia (qui)</t>
        </is>
      </c>
      <c r="E375" s="3" t="n">
        <v>3226.21</v>
      </c>
      <c r="F375" s="3" t="n"/>
      <c r="G375" s="3">
        <f>G374+IFERROR(E375,0)-IFERROR(F375,0)</f>
        <v/>
      </c>
    </row>
    <row r="376">
      <c r="A376" s="2" t="n">
        <v>46142</v>
      </c>
      <c r="B376" t="inlineStr">
        <is>
          <t>Receita</t>
        </is>
      </c>
      <c r="C376" t="inlineStr">
        <is>
          <t>Cartão débito</t>
        </is>
      </c>
      <c r="D376" t="inlineStr">
        <is>
          <t>Vendas do dia (qui)</t>
        </is>
      </c>
      <c r="E376" s="3" t="n">
        <v>1577.26</v>
      </c>
      <c r="F376" s="3" t="n"/>
      <c r="G376" s="3">
        <f>G375+IFERROR(E376,0)-IFERROR(F376,0)</f>
        <v/>
      </c>
    </row>
    <row r="377">
      <c r="A377" s="2" t="n">
        <v>46142</v>
      </c>
      <c r="B377" t="inlineStr">
        <is>
          <t>Receita</t>
        </is>
      </c>
      <c r="C377" t="inlineStr">
        <is>
          <t>PIX</t>
        </is>
      </c>
      <c r="D377" t="inlineStr">
        <is>
          <t>Vendas do dia (qui)</t>
        </is>
      </c>
      <c r="E377" s="3" t="n">
        <v>1290.48</v>
      </c>
      <c r="F377" s="3" t="n"/>
      <c r="G377" s="3">
        <f>G376+IFERROR(E377,0)-IFERROR(F377,0)</f>
        <v/>
      </c>
    </row>
    <row r="378">
      <c r="A378" s="2" t="n">
        <v>46142</v>
      </c>
      <c r="B378" t="inlineStr">
        <is>
          <t>Receita</t>
        </is>
      </c>
      <c r="C378" t="inlineStr">
        <is>
          <t>Dinheiro</t>
        </is>
      </c>
      <c r="D378" t="inlineStr">
        <is>
          <t>Vendas do dia (qui)</t>
        </is>
      </c>
      <c r="E378" s="3" t="n">
        <v>358.47</v>
      </c>
      <c r="F378" s="3" t="n"/>
      <c r="G378" s="3">
        <f>G377+IFERROR(E378,0)-IFERROR(F378,0)</f>
        <v/>
      </c>
    </row>
    <row r="379">
      <c r="A379" s="2" t="n">
        <v>46143</v>
      </c>
      <c r="B379" t="inlineStr">
        <is>
          <t>Fornecedor</t>
        </is>
      </c>
      <c r="C379" t="inlineStr">
        <is>
          <t>Cárneas</t>
        </is>
      </c>
      <c r="D379" t="inlineStr">
        <is>
          <t>Açougue Boi Forte</t>
        </is>
      </c>
      <c r="E379" s="3" t="n"/>
      <c r="F379" s="3" t="n">
        <v>2345.21</v>
      </c>
      <c r="G379" s="3">
        <f>G378+IFERROR(E379,0)-IFERROR(F379,0)</f>
        <v/>
      </c>
    </row>
    <row r="380">
      <c r="A380" s="2" t="n">
        <v>46143</v>
      </c>
      <c r="B380" t="inlineStr">
        <is>
          <t>Fornecedor</t>
        </is>
      </c>
      <c r="C380" t="inlineStr">
        <is>
          <t>Laticínios</t>
        </is>
      </c>
      <c r="D380" t="inlineStr">
        <is>
          <t>Laticínios semana</t>
        </is>
      </c>
      <c r="E380" s="3" t="n"/>
      <c r="F380" s="3" t="n">
        <v>960.42</v>
      </c>
      <c r="G380" s="3">
        <f>G379+IFERROR(E380,0)-IFERROR(F380,0)</f>
        <v/>
      </c>
    </row>
    <row r="381">
      <c r="A381" s="2" t="n">
        <v>46143</v>
      </c>
      <c r="B381" t="inlineStr">
        <is>
          <t>Receita</t>
        </is>
      </c>
      <c r="C381" t="inlineStr">
        <is>
          <t>Cartão crédito</t>
        </is>
      </c>
      <c r="D381" t="inlineStr">
        <is>
          <t>Vendas do dia (sex)</t>
        </is>
      </c>
      <c r="E381" s="3" t="n">
        <v>4334.83</v>
      </c>
      <c r="F381" s="3" t="n"/>
      <c r="G381" s="3">
        <f>G380+IFERROR(E381,0)-IFERROR(F381,0)</f>
        <v/>
      </c>
    </row>
    <row r="382">
      <c r="A382" s="2" t="n">
        <v>46143</v>
      </c>
      <c r="B382" t="inlineStr">
        <is>
          <t>Receita</t>
        </is>
      </c>
      <c r="C382" t="inlineStr">
        <is>
          <t>Cartão débito</t>
        </is>
      </c>
      <c r="D382" t="inlineStr">
        <is>
          <t>Vendas do dia (sex)</t>
        </is>
      </c>
      <c r="E382" s="3" t="n">
        <v>2119.25</v>
      </c>
      <c r="F382" s="3" t="n"/>
      <c r="G382" s="3">
        <f>G381+IFERROR(E382,0)-IFERROR(F382,0)</f>
        <v/>
      </c>
    </row>
    <row r="383">
      <c r="A383" s="2" t="n">
        <v>46143</v>
      </c>
      <c r="B383" t="inlineStr">
        <is>
          <t>Receita</t>
        </is>
      </c>
      <c r="C383" t="inlineStr">
        <is>
          <t>PIX</t>
        </is>
      </c>
      <c r="D383" t="inlineStr">
        <is>
          <t>Vendas do dia (sex)</t>
        </is>
      </c>
      <c r="E383" s="3" t="n">
        <v>1733.93</v>
      </c>
      <c r="F383" s="3" t="n"/>
      <c r="G383" s="3">
        <f>G382+IFERROR(E383,0)-IFERROR(F383,0)</f>
        <v/>
      </c>
    </row>
    <row r="384">
      <c r="A384" s="2" t="n">
        <v>46143</v>
      </c>
      <c r="B384" t="inlineStr">
        <is>
          <t>Receita</t>
        </is>
      </c>
      <c r="C384" t="inlineStr">
        <is>
          <t>Dinheiro</t>
        </is>
      </c>
      <c r="D384" t="inlineStr">
        <is>
          <t>Vendas do dia (sex)</t>
        </is>
      </c>
      <c r="E384" s="3" t="n">
        <v>481.65</v>
      </c>
      <c r="F384" s="3" t="n"/>
      <c r="G384" s="3">
        <f>G383+IFERROR(E384,0)-IFERROR(F384,0)</f>
        <v/>
      </c>
    </row>
    <row r="385">
      <c r="A385" s="2" t="n">
        <v>46144</v>
      </c>
      <c r="B385" t="inlineStr">
        <is>
          <t>Despesa variável</t>
        </is>
      </c>
      <c r="C385" t="inlineStr">
        <is>
          <t>Comissão</t>
        </is>
      </c>
      <c r="D385" t="inlineStr">
        <is>
          <t>Comissão garçom (sáb)</t>
        </is>
      </c>
      <c r="E385" s="3" t="n"/>
      <c r="F385" s="3" t="n">
        <v>1035.1</v>
      </c>
      <c r="G385" s="3">
        <f>G384+IFERROR(E385,0)-IFERROR(F385,0)</f>
        <v/>
      </c>
    </row>
    <row r="386">
      <c r="A386" s="2" t="n">
        <v>46144</v>
      </c>
      <c r="B386" t="inlineStr">
        <is>
          <t>Fornecedor</t>
        </is>
      </c>
      <c r="C386" t="inlineStr">
        <is>
          <t>Bebidas</t>
        </is>
      </c>
      <c r="D386" t="inlineStr">
        <is>
          <t>Distribuidora Norte</t>
        </is>
      </c>
      <c r="E386" s="3" t="n"/>
      <c r="F386" s="3" t="n">
        <v>3957.29</v>
      </c>
      <c r="G386" s="3">
        <f>G385+IFERROR(E386,0)-IFERROR(F386,0)</f>
        <v/>
      </c>
    </row>
    <row r="387">
      <c r="A387" s="2" t="n">
        <v>46144</v>
      </c>
      <c r="B387" t="inlineStr">
        <is>
          <t>Receita</t>
        </is>
      </c>
      <c r="C387" t="inlineStr">
        <is>
          <t>Cartão crédito</t>
        </is>
      </c>
      <c r="D387" t="inlineStr">
        <is>
          <t>Vendas do dia (sáb)</t>
        </is>
      </c>
      <c r="E387" s="3" t="n">
        <v>8421.549999999999</v>
      </c>
      <c r="F387" s="3" t="n"/>
      <c r="G387" s="3">
        <f>G386+IFERROR(E387,0)-IFERROR(F387,0)</f>
        <v/>
      </c>
    </row>
    <row r="388">
      <c r="A388" s="2" t="n">
        <v>46144</v>
      </c>
      <c r="B388" t="inlineStr">
        <is>
          <t>Receita</t>
        </is>
      </c>
      <c r="C388" t="inlineStr">
        <is>
          <t>Cartão débito</t>
        </is>
      </c>
      <c r="D388" t="inlineStr">
        <is>
          <t>Vendas do dia (sáb)</t>
        </is>
      </c>
      <c r="E388" s="3" t="n">
        <v>4117.2</v>
      </c>
      <c r="F388" s="3" t="n"/>
      <c r="G388" s="3">
        <f>G387+IFERROR(E388,0)-IFERROR(F388,0)</f>
        <v/>
      </c>
    </row>
    <row r="389">
      <c r="A389" s="2" t="n">
        <v>46144</v>
      </c>
      <c r="B389" t="inlineStr">
        <is>
          <t>Receita</t>
        </is>
      </c>
      <c r="C389" t="inlineStr">
        <is>
          <t>PIX</t>
        </is>
      </c>
      <c r="D389" t="inlineStr">
        <is>
          <t>Vendas do dia (sáb)</t>
        </is>
      </c>
      <c r="E389" s="3" t="n">
        <v>3368.62</v>
      </c>
      <c r="F389" s="3" t="n"/>
      <c r="G389" s="3">
        <f>G388+IFERROR(E389,0)-IFERROR(F389,0)</f>
        <v/>
      </c>
    </row>
    <row r="390">
      <c r="A390" s="2" t="n">
        <v>46144</v>
      </c>
      <c r="B390" t="inlineStr">
        <is>
          <t>Receita</t>
        </is>
      </c>
      <c r="C390" t="inlineStr">
        <is>
          <t>Dinheiro</t>
        </is>
      </c>
      <c r="D390" t="inlineStr">
        <is>
          <t>Vendas do dia (sáb)</t>
        </is>
      </c>
      <c r="E390" s="3" t="n">
        <v>935.73</v>
      </c>
      <c r="F390" s="3" t="n"/>
      <c r="G390" s="3">
        <f>G389+IFERROR(E390,0)-IFERROR(F390,0)</f>
        <v/>
      </c>
    </row>
    <row r="391">
      <c r="A391" s="2" t="n">
        <v>46145</v>
      </c>
      <c r="B391" t="inlineStr">
        <is>
          <t>Despesa variável</t>
        </is>
      </c>
      <c r="C391" t="inlineStr">
        <is>
          <t>Comissão</t>
        </is>
      </c>
      <c r="D391" t="inlineStr">
        <is>
          <t>Comissão garçom (dom)</t>
        </is>
      </c>
      <c r="E391" s="3" t="n"/>
      <c r="F391" s="3" t="n">
        <v>1176.27</v>
      </c>
      <c r="G391" s="3">
        <f>G390+IFERROR(E391,0)-IFERROR(F391,0)</f>
        <v/>
      </c>
    </row>
    <row r="392">
      <c r="A392" s="2" t="n">
        <v>46145</v>
      </c>
      <c r="B392" t="inlineStr">
        <is>
          <t>Receita</t>
        </is>
      </c>
      <c r="C392" t="inlineStr">
        <is>
          <t>Cartão crédito</t>
        </is>
      </c>
      <c r="D392" t="inlineStr">
        <is>
          <t>Vendas do dia (dom)</t>
        </is>
      </c>
      <c r="E392" s="3" t="n">
        <v>7371.83</v>
      </c>
      <c r="F392" s="3" t="n"/>
      <c r="G392" s="3">
        <f>G391+IFERROR(E392,0)-IFERROR(F392,0)</f>
        <v/>
      </c>
    </row>
    <row r="393">
      <c r="A393" s="2" t="n">
        <v>46145</v>
      </c>
      <c r="B393" t="inlineStr">
        <is>
          <t>Receita</t>
        </is>
      </c>
      <c r="C393" t="inlineStr">
        <is>
          <t>Cartão débito</t>
        </is>
      </c>
      <c r="D393" t="inlineStr">
        <is>
          <t>Vendas do dia (dom)</t>
        </is>
      </c>
      <c r="E393" s="3" t="n">
        <v>3604</v>
      </c>
      <c r="F393" s="3" t="n"/>
      <c r="G393" s="3">
        <f>G392+IFERROR(E393,0)-IFERROR(F393,0)</f>
        <v/>
      </c>
    </row>
    <row r="394">
      <c r="A394" s="2" t="n">
        <v>46145</v>
      </c>
      <c r="B394" t="inlineStr">
        <is>
          <t>Receita</t>
        </is>
      </c>
      <c r="C394" t="inlineStr">
        <is>
          <t>PIX</t>
        </is>
      </c>
      <c r="D394" t="inlineStr">
        <is>
          <t>Vendas do dia (dom)</t>
        </is>
      </c>
      <c r="E394" s="3" t="n">
        <v>2948.73</v>
      </c>
      <c r="F394" s="3" t="n"/>
      <c r="G394" s="3">
        <f>G393+IFERROR(E394,0)-IFERROR(F394,0)</f>
        <v/>
      </c>
    </row>
    <row r="395">
      <c r="A395" s="2" t="n">
        <v>46145</v>
      </c>
      <c r="B395" t="inlineStr">
        <is>
          <t>Receita</t>
        </is>
      </c>
      <c r="C395" t="inlineStr">
        <is>
          <t>Dinheiro</t>
        </is>
      </c>
      <c r="D395" t="inlineStr">
        <is>
          <t>Vendas do dia (dom)</t>
        </is>
      </c>
      <c r="E395" s="3" t="n">
        <v>819.09</v>
      </c>
      <c r="F395" s="3" t="n"/>
      <c r="G395" s="3">
        <f>G394+IFERROR(E395,0)-IFERROR(F395,0)</f>
        <v/>
      </c>
    </row>
    <row r="396">
      <c r="A396" s="2" t="n">
        <v>46146</v>
      </c>
      <c r="B396" t="inlineStr">
        <is>
          <t>Despesa fixa</t>
        </is>
      </c>
      <c r="C396" t="inlineStr">
        <is>
          <t>Outras operacionais</t>
        </is>
      </c>
      <c r="D396" t="inlineStr">
        <is>
          <t>Despesas operacionais diversas</t>
        </is>
      </c>
      <c r="E396" s="3" t="n"/>
      <c r="F396" s="3" t="n">
        <v>2607.19</v>
      </c>
      <c r="G396" s="3">
        <f>G395+IFERROR(E396,0)-IFERROR(F396,0)</f>
        <v/>
      </c>
    </row>
    <row r="397">
      <c r="A397" s="2" t="n">
        <v>46146</v>
      </c>
      <c r="B397" t="inlineStr">
        <is>
          <t>Fornecedor</t>
        </is>
      </c>
      <c r="C397" t="inlineStr">
        <is>
          <t>Hortifruti</t>
        </is>
      </c>
      <c r="D397" t="inlineStr">
        <is>
          <t>Feira semanal — Ceasa</t>
        </is>
      </c>
      <c r="E397" s="3" t="n"/>
      <c r="F397" s="3" t="n">
        <v>1235.23</v>
      </c>
      <c r="G397" s="3">
        <f>G396+IFERROR(E397,0)-IFERROR(F397,0)</f>
        <v/>
      </c>
    </row>
    <row r="398">
      <c r="A398" s="2" t="n">
        <v>46146</v>
      </c>
      <c r="B398" t="inlineStr">
        <is>
          <t>Fornecedor</t>
        </is>
      </c>
      <c r="C398" t="inlineStr">
        <is>
          <t>Bebidas</t>
        </is>
      </c>
      <c r="D398" t="inlineStr">
        <is>
          <t>Distribuidora Norte</t>
        </is>
      </c>
      <c r="E398" s="3" t="n"/>
      <c r="F398" s="3" t="n">
        <v>4271.36</v>
      </c>
      <c r="G398" s="3">
        <f>G397+IFERROR(E398,0)-IFERROR(F398,0)</f>
        <v/>
      </c>
    </row>
    <row r="399">
      <c r="A399" s="2" t="n">
        <v>46146</v>
      </c>
      <c r="B399" t="inlineStr">
        <is>
          <t>Receita</t>
        </is>
      </c>
      <c r="C399" t="inlineStr">
        <is>
          <t>Cartão crédito</t>
        </is>
      </c>
      <c r="D399" t="inlineStr">
        <is>
          <t>Vendas do dia (seg)</t>
        </is>
      </c>
      <c r="E399" s="3" t="n">
        <v>1787.41</v>
      </c>
      <c r="F399" s="3" t="n"/>
      <c r="G399" s="3">
        <f>G398+IFERROR(E399,0)-IFERROR(F399,0)</f>
        <v/>
      </c>
    </row>
    <row r="400">
      <c r="A400" s="2" t="n">
        <v>46146</v>
      </c>
      <c r="B400" t="inlineStr">
        <is>
          <t>Receita</t>
        </is>
      </c>
      <c r="C400" t="inlineStr">
        <is>
          <t>Cartão débito</t>
        </is>
      </c>
      <c r="D400" t="inlineStr">
        <is>
          <t>Vendas do dia (seg)</t>
        </is>
      </c>
      <c r="E400" s="3" t="n">
        <v>873.84</v>
      </c>
      <c r="F400" s="3" t="n"/>
      <c r="G400" s="3">
        <f>G399+IFERROR(E400,0)-IFERROR(F400,0)</f>
        <v/>
      </c>
    </row>
    <row r="401">
      <c r="A401" s="2" t="n">
        <v>46146</v>
      </c>
      <c r="B401" t="inlineStr">
        <is>
          <t>Receita</t>
        </is>
      </c>
      <c r="C401" t="inlineStr">
        <is>
          <t>PIX</t>
        </is>
      </c>
      <c r="D401" t="inlineStr">
        <is>
          <t>Vendas do dia (seg)</t>
        </is>
      </c>
      <c r="E401" s="3" t="n">
        <v>714.96</v>
      </c>
      <c r="F401" s="3" t="n"/>
      <c r="G401" s="3">
        <f>G400+IFERROR(E401,0)-IFERROR(F401,0)</f>
        <v/>
      </c>
    </row>
    <row r="402">
      <c r="A402" s="2" t="n">
        <v>46146</v>
      </c>
      <c r="B402" t="inlineStr">
        <is>
          <t>Receita</t>
        </is>
      </c>
      <c r="C402" t="inlineStr">
        <is>
          <t>Dinheiro</t>
        </is>
      </c>
      <c r="D402" t="inlineStr">
        <is>
          <t>Vendas do dia (seg)</t>
        </is>
      </c>
      <c r="E402" s="3" t="n">
        <v>198.6</v>
      </c>
      <c r="F402" s="3" t="n"/>
      <c r="G402" s="3">
        <f>G401+IFERROR(E402,0)-IFERROR(F402,0)</f>
        <v/>
      </c>
    </row>
    <row r="403">
      <c r="A403" s="2" t="n">
        <v>46147</v>
      </c>
      <c r="B403" t="inlineStr">
        <is>
          <t>Despesa fixa</t>
        </is>
      </c>
      <c r="C403" t="inlineStr">
        <is>
          <t>Aluguel</t>
        </is>
      </c>
      <c r="D403" t="inlineStr">
        <is>
          <t>Aluguel mai/2026</t>
        </is>
      </c>
      <c r="E403" s="3" t="n"/>
      <c r="F403" s="3" t="n">
        <v>18000</v>
      </c>
      <c r="G403" s="3">
        <f>G402+IFERROR(E403,0)-IFERROR(F403,0)</f>
        <v/>
      </c>
    </row>
    <row r="404">
      <c r="A404" s="2" t="n">
        <v>46147</v>
      </c>
      <c r="B404" t="inlineStr">
        <is>
          <t>Fornecedor</t>
        </is>
      </c>
      <c r="C404" t="inlineStr">
        <is>
          <t>Cárneas</t>
        </is>
      </c>
      <c r="D404" t="inlineStr">
        <is>
          <t>Açougue Boi Forte</t>
        </is>
      </c>
      <c r="E404" s="3" t="n"/>
      <c r="F404" s="3" t="n">
        <v>2870.65</v>
      </c>
      <c r="G404" s="3">
        <f>G403+IFERROR(E404,0)-IFERROR(F404,0)</f>
        <v/>
      </c>
    </row>
    <row r="405">
      <c r="A405" s="2" t="n">
        <v>46147</v>
      </c>
      <c r="B405" t="inlineStr">
        <is>
          <t>Receita</t>
        </is>
      </c>
      <c r="C405" t="inlineStr">
        <is>
          <t>Cartão crédito</t>
        </is>
      </c>
      <c r="D405" t="inlineStr">
        <is>
          <t>Vendas do dia (ter)</t>
        </is>
      </c>
      <c r="E405" s="3" t="n">
        <v>2614.89</v>
      </c>
      <c r="F405" s="3" t="n"/>
      <c r="G405" s="3">
        <f>G404+IFERROR(E405,0)-IFERROR(F405,0)</f>
        <v/>
      </c>
    </row>
    <row r="406">
      <c r="A406" s="2" t="n">
        <v>46147</v>
      </c>
      <c r="B406" t="inlineStr">
        <is>
          <t>Receita</t>
        </is>
      </c>
      <c r="C406" t="inlineStr">
        <is>
          <t>Cartão débito</t>
        </is>
      </c>
      <c r="D406" t="inlineStr">
        <is>
          <t>Vendas do dia (ter)</t>
        </is>
      </c>
      <c r="E406" s="3" t="n">
        <v>1278.39</v>
      </c>
      <c r="F406" s="3" t="n"/>
      <c r="G406" s="3">
        <f>G405+IFERROR(E406,0)-IFERROR(F406,0)</f>
        <v/>
      </c>
    </row>
    <row r="407">
      <c r="A407" s="2" t="n">
        <v>46147</v>
      </c>
      <c r="B407" t="inlineStr">
        <is>
          <t>Receita</t>
        </is>
      </c>
      <c r="C407" t="inlineStr">
        <is>
          <t>PIX</t>
        </is>
      </c>
      <c r="D407" t="inlineStr">
        <is>
          <t>Vendas do dia (ter)</t>
        </is>
      </c>
      <c r="E407" s="3" t="n">
        <v>1045.96</v>
      </c>
      <c r="F407" s="3" t="n"/>
      <c r="G407" s="3">
        <f>G406+IFERROR(E407,0)-IFERROR(F407,0)</f>
        <v/>
      </c>
    </row>
    <row r="408">
      <c r="A408" s="2" t="n">
        <v>46147</v>
      </c>
      <c r="B408" t="inlineStr">
        <is>
          <t>Receita</t>
        </is>
      </c>
      <c r="C408" t="inlineStr">
        <is>
          <t>Dinheiro</t>
        </is>
      </c>
      <c r="D408" t="inlineStr">
        <is>
          <t>Vendas do dia (ter)</t>
        </is>
      </c>
      <c r="E408" s="3" t="n">
        <v>290.54</v>
      </c>
      <c r="F408" s="3" t="n"/>
      <c r="G408" s="3">
        <f>G407+IFERROR(E408,0)-IFERROR(F408,0)</f>
        <v/>
      </c>
    </row>
    <row r="409">
      <c r="A409" s="2" t="n">
        <v>46147</v>
      </c>
      <c r="B409" t="inlineStr">
        <is>
          <t>Receita</t>
        </is>
      </c>
      <c r="C409" t="inlineStr">
        <is>
          <t>iFood</t>
        </is>
      </c>
      <c r="D409" t="inlineStr">
        <is>
          <t>Repasse semanal iFood</t>
        </is>
      </c>
      <c r="E409" s="3" t="n">
        <v>6291.26</v>
      </c>
      <c r="F409" s="3" t="n"/>
      <c r="G409" s="3">
        <f>G408+IFERROR(E409,0)-IFERROR(F409,0)</f>
        <v/>
      </c>
    </row>
    <row r="410">
      <c r="A410" s="2" t="n">
        <v>46148</v>
      </c>
      <c r="B410" t="inlineStr">
        <is>
          <t>Fornecedor</t>
        </is>
      </c>
      <c r="C410" t="inlineStr">
        <is>
          <t>Hortifruti</t>
        </is>
      </c>
      <c r="D410" t="inlineStr">
        <is>
          <t>Reposição hortifruti</t>
        </is>
      </c>
      <c r="E410" s="3" t="n"/>
      <c r="F410" s="3" t="n">
        <v>792.05</v>
      </c>
      <c r="G410" s="3">
        <f>G409+IFERROR(E410,0)-IFERROR(F410,0)</f>
        <v/>
      </c>
    </row>
    <row r="411">
      <c r="A411" s="2" t="n">
        <v>46148</v>
      </c>
      <c r="B411" t="inlineStr">
        <is>
          <t>Fornecedor</t>
        </is>
      </c>
      <c r="C411" t="inlineStr">
        <is>
          <t>Mercearia</t>
        </is>
      </c>
      <c r="D411" t="inlineStr">
        <is>
          <t>Atacado mercearia</t>
        </is>
      </c>
      <c r="E411" s="3" t="n"/>
      <c r="F411" s="3" t="n">
        <v>2065.88</v>
      </c>
      <c r="G411" s="3">
        <f>G410+IFERROR(E411,0)-IFERROR(F411,0)</f>
        <v/>
      </c>
    </row>
    <row r="412">
      <c r="A412" s="2" t="n">
        <v>46148</v>
      </c>
      <c r="B412" t="inlineStr">
        <is>
          <t>Receita</t>
        </is>
      </c>
      <c r="C412" t="inlineStr">
        <is>
          <t>Cartão crédito</t>
        </is>
      </c>
      <c r="D412" t="inlineStr">
        <is>
          <t>Vendas do dia (qua)</t>
        </is>
      </c>
      <c r="E412" s="3" t="n">
        <v>2848.09</v>
      </c>
      <c r="F412" s="3" t="n"/>
      <c r="G412" s="3">
        <f>G411+IFERROR(E412,0)-IFERROR(F412,0)</f>
        <v/>
      </c>
    </row>
    <row r="413">
      <c r="A413" s="2" t="n">
        <v>46148</v>
      </c>
      <c r="B413" t="inlineStr">
        <is>
          <t>Receita</t>
        </is>
      </c>
      <c r="C413" t="inlineStr">
        <is>
          <t>Cartão débito</t>
        </is>
      </c>
      <c r="D413" t="inlineStr">
        <is>
          <t>Vendas do dia (qua)</t>
        </is>
      </c>
      <c r="E413" s="3" t="n">
        <v>1392.4</v>
      </c>
      <c r="F413" s="3" t="n"/>
      <c r="G413" s="3">
        <f>G412+IFERROR(E413,0)-IFERROR(F413,0)</f>
        <v/>
      </c>
    </row>
    <row r="414">
      <c r="A414" s="2" t="n">
        <v>46148</v>
      </c>
      <c r="B414" t="inlineStr">
        <is>
          <t>Receita</t>
        </is>
      </c>
      <c r="C414" t="inlineStr">
        <is>
          <t>PIX</t>
        </is>
      </c>
      <c r="D414" t="inlineStr">
        <is>
          <t>Vendas do dia (qua)</t>
        </is>
      </c>
      <c r="E414" s="3" t="n">
        <v>1139.24</v>
      </c>
      <c r="F414" s="3" t="n"/>
      <c r="G414" s="3">
        <f>G413+IFERROR(E414,0)-IFERROR(F414,0)</f>
        <v/>
      </c>
    </row>
    <row r="415">
      <c r="A415" s="2" t="n">
        <v>46148</v>
      </c>
      <c r="B415" t="inlineStr">
        <is>
          <t>Receita</t>
        </is>
      </c>
      <c r="C415" t="inlineStr">
        <is>
          <t>Dinheiro</t>
        </is>
      </c>
      <c r="D415" t="inlineStr">
        <is>
          <t>Vendas do dia (qua)</t>
        </is>
      </c>
      <c r="E415" s="3" t="n">
        <v>316.45</v>
      </c>
      <c r="F415" s="3" t="n"/>
      <c r="G415" s="3">
        <f>G414+IFERROR(E415,0)-IFERROR(F415,0)</f>
        <v/>
      </c>
    </row>
    <row r="416">
      <c r="A416" s="2" t="n">
        <v>46149</v>
      </c>
      <c r="B416" t="inlineStr">
        <is>
          <t>Receita</t>
        </is>
      </c>
      <c r="C416" t="inlineStr">
        <is>
          <t>Cartão crédito</t>
        </is>
      </c>
      <c r="D416" t="inlineStr">
        <is>
          <t>Vendas do dia (qui)</t>
        </is>
      </c>
      <c r="E416" s="3" t="n">
        <v>3441.21</v>
      </c>
      <c r="F416" s="3" t="n"/>
      <c r="G416" s="3">
        <f>G415+IFERROR(E416,0)-IFERROR(F416,0)</f>
        <v/>
      </c>
    </row>
    <row r="417">
      <c r="A417" s="2" t="n">
        <v>46149</v>
      </c>
      <c r="B417" t="inlineStr">
        <is>
          <t>Receita</t>
        </is>
      </c>
      <c r="C417" t="inlineStr">
        <is>
          <t>Cartão débito</t>
        </is>
      </c>
      <c r="D417" t="inlineStr">
        <is>
          <t>Vendas do dia (qui)</t>
        </is>
      </c>
      <c r="E417" s="3" t="n">
        <v>1682.37</v>
      </c>
      <c r="F417" s="3" t="n"/>
      <c r="G417" s="3">
        <f>G416+IFERROR(E417,0)-IFERROR(F417,0)</f>
        <v/>
      </c>
    </row>
    <row r="418">
      <c r="A418" s="2" t="n">
        <v>46149</v>
      </c>
      <c r="B418" t="inlineStr">
        <is>
          <t>Receita</t>
        </is>
      </c>
      <c r="C418" t="inlineStr">
        <is>
          <t>PIX</t>
        </is>
      </c>
      <c r="D418" t="inlineStr">
        <is>
          <t>Vendas do dia (qui)</t>
        </is>
      </c>
      <c r="E418" s="3" t="n">
        <v>1376.48</v>
      </c>
      <c r="F418" s="3" t="n"/>
      <c r="G418" s="3">
        <f>G417+IFERROR(E418,0)-IFERROR(F418,0)</f>
        <v/>
      </c>
    </row>
    <row r="419">
      <c r="A419" s="2" t="n">
        <v>46149</v>
      </c>
      <c r="B419" t="inlineStr">
        <is>
          <t>Receita</t>
        </is>
      </c>
      <c r="C419" t="inlineStr">
        <is>
          <t>Dinheiro</t>
        </is>
      </c>
      <c r="D419" t="inlineStr">
        <is>
          <t>Vendas do dia (qui)</t>
        </is>
      </c>
      <c r="E419" s="3" t="n">
        <v>382.36</v>
      </c>
      <c r="F419" s="3" t="n"/>
      <c r="G419" s="3">
        <f>G418+IFERROR(E419,0)-IFERROR(F419,0)</f>
        <v/>
      </c>
    </row>
    <row r="420">
      <c r="A420" s="2" t="n">
        <v>46150</v>
      </c>
      <c r="B420" t="inlineStr">
        <is>
          <t>Fornecedor</t>
        </is>
      </c>
      <c r="C420" t="inlineStr">
        <is>
          <t>Cárneas</t>
        </is>
      </c>
      <c r="D420" t="inlineStr">
        <is>
          <t>Açougue Boi Forte</t>
        </is>
      </c>
      <c r="E420" s="3" t="n"/>
      <c r="F420" s="3" t="n">
        <v>2464.26</v>
      </c>
      <c r="G420" s="3">
        <f>G419+IFERROR(E420,0)-IFERROR(F420,0)</f>
        <v/>
      </c>
    </row>
    <row r="421">
      <c r="A421" s="2" t="n">
        <v>46150</v>
      </c>
      <c r="B421" t="inlineStr">
        <is>
          <t>Fornecedor</t>
        </is>
      </c>
      <c r="C421" t="inlineStr">
        <is>
          <t>Laticínios</t>
        </is>
      </c>
      <c r="D421" t="inlineStr">
        <is>
          <t>Laticínios semana</t>
        </is>
      </c>
      <c r="E421" s="3" t="n"/>
      <c r="F421" s="3" t="n">
        <v>823.45</v>
      </c>
      <c r="G421" s="3">
        <f>G420+IFERROR(E421,0)-IFERROR(F421,0)</f>
        <v/>
      </c>
    </row>
    <row r="422">
      <c r="A422" s="2" t="n">
        <v>46150</v>
      </c>
      <c r="B422" t="inlineStr">
        <is>
          <t>Receita</t>
        </is>
      </c>
      <c r="C422" t="inlineStr">
        <is>
          <t>Cartão crédito</t>
        </is>
      </c>
      <c r="D422" t="inlineStr">
        <is>
          <t>Vendas do dia (sex)</t>
        </is>
      </c>
      <c r="E422" s="3" t="n">
        <v>4407.59</v>
      </c>
      <c r="F422" s="3" t="n"/>
      <c r="G422" s="3">
        <f>G421+IFERROR(E422,0)-IFERROR(F422,0)</f>
        <v/>
      </c>
    </row>
    <row r="423">
      <c r="A423" s="2" t="n">
        <v>46150</v>
      </c>
      <c r="B423" t="inlineStr">
        <is>
          <t>Receita</t>
        </is>
      </c>
      <c r="C423" t="inlineStr">
        <is>
          <t>Cartão débito</t>
        </is>
      </c>
      <c r="D423" t="inlineStr">
        <is>
          <t>Vendas do dia (sex)</t>
        </is>
      </c>
      <c r="E423" s="3" t="n">
        <v>2154.82</v>
      </c>
      <c r="F423" s="3" t="n"/>
      <c r="G423" s="3">
        <f>G422+IFERROR(E423,0)-IFERROR(F423,0)</f>
        <v/>
      </c>
    </row>
    <row r="424">
      <c r="A424" s="2" t="n">
        <v>46150</v>
      </c>
      <c r="B424" t="inlineStr">
        <is>
          <t>Receita</t>
        </is>
      </c>
      <c r="C424" t="inlineStr">
        <is>
          <t>PIX</t>
        </is>
      </c>
      <c r="D424" t="inlineStr">
        <is>
          <t>Vendas do dia (sex)</t>
        </is>
      </c>
      <c r="E424" s="3" t="n">
        <v>1763.04</v>
      </c>
      <c r="F424" s="3" t="n"/>
      <c r="G424" s="3">
        <f>G423+IFERROR(E424,0)-IFERROR(F424,0)</f>
        <v/>
      </c>
    </row>
    <row r="425">
      <c r="A425" s="2" t="n">
        <v>46150</v>
      </c>
      <c r="B425" t="inlineStr">
        <is>
          <t>Receita</t>
        </is>
      </c>
      <c r="C425" t="inlineStr">
        <is>
          <t>Dinheiro</t>
        </is>
      </c>
      <c r="D425" t="inlineStr">
        <is>
          <t>Vendas do dia (sex)</t>
        </is>
      </c>
      <c r="E425" s="3" t="n">
        <v>489.73</v>
      </c>
      <c r="F425" s="3" t="n"/>
      <c r="G425" s="3">
        <f>G424+IFERROR(E425,0)-IFERROR(F425,0)</f>
        <v/>
      </c>
    </row>
    <row r="426">
      <c r="A426" s="2" t="n">
        <v>46151</v>
      </c>
      <c r="B426" t="inlineStr">
        <is>
          <t>Despesa variável</t>
        </is>
      </c>
      <c r="C426" t="inlineStr">
        <is>
          <t>Comissão</t>
        </is>
      </c>
      <c r="D426" t="inlineStr">
        <is>
          <t>Comissão garçom (sáb)</t>
        </is>
      </c>
      <c r="E426" s="3" t="n"/>
      <c r="F426" s="3" t="n">
        <v>1008.04</v>
      </c>
      <c r="G426" s="3">
        <f>G425+IFERROR(E426,0)-IFERROR(F426,0)</f>
        <v/>
      </c>
    </row>
    <row r="427">
      <c r="A427" s="2" t="n">
        <v>46151</v>
      </c>
      <c r="B427" t="inlineStr">
        <is>
          <t>Fornecedor</t>
        </is>
      </c>
      <c r="C427" t="inlineStr">
        <is>
          <t>Descartáveis</t>
        </is>
      </c>
      <c r="D427" t="inlineStr">
        <is>
          <t>Embalagens Sul</t>
        </is>
      </c>
      <c r="E427" s="3" t="n"/>
      <c r="F427" s="3" t="n">
        <v>1420</v>
      </c>
      <c r="G427" s="3">
        <f>G426+IFERROR(E427,0)-IFERROR(F427,0)</f>
        <v/>
      </c>
    </row>
    <row r="428">
      <c r="A428" s="2" t="n">
        <v>46151</v>
      </c>
      <c r="B428" t="inlineStr">
        <is>
          <t>Receita</t>
        </is>
      </c>
      <c r="C428" t="inlineStr">
        <is>
          <t>Cartão crédito</t>
        </is>
      </c>
      <c r="D428" t="inlineStr">
        <is>
          <t>Vendas do dia (sáb)</t>
        </is>
      </c>
      <c r="E428" s="3" t="n">
        <v>6854.91</v>
      </c>
      <c r="F428" s="3" t="n"/>
      <c r="G428" s="3">
        <f>G427+IFERROR(E428,0)-IFERROR(F428,0)</f>
        <v/>
      </c>
    </row>
    <row r="429">
      <c r="A429" s="2" t="n">
        <v>46151</v>
      </c>
      <c r="B429" t="inlineStr">
        <is>
          <t>Receita</t>
        </is>
      </c>
      <c r="C429" t="inlineStr">
        <is>
          <t>Cartão débito</t>
        </is>
      </c>
      <c r="D429" t="inlineStr">
        <is>
          <t>Vendas do dia (sáb)</t>
        </is>
      </c>
      <c r="E429" s="3" t="n">
        <v>3351.29</v>
      </c>
      <c r="F429" s="3" t="n"/>
      <c r="G429" s="3">
        <f>G428+IFERROR(E429,0)-IFERROR(F429,0)</f>
        <v/>
      </c>
    </row>
    <row r="430">
      <c r="A430" s="2" t="n">
        <v>46151</v>
      </c>
      <c r="B430" t="inlineStr">
        <is>
          <t>Receita</t>
        </is>
      </c>
      <c r="C430" t="inlineStr">
        <is>
          <t>PIX</t>
        </is>
      </c>
      <c r="D430" t="inlineStr">
        <is>
          <t>Vendas do dia (sáb)</t>
        </is>
      </c>
      <c r="E430" s="3" t="n">
        <v>2741.96</v>
      </c>
      <c r="F430" s="3" t="n"/>
      <c r="G430" s="3">
        <f>G429+IFERROR(E430,0)-IFERROR(F430,0)</f>
        <v/>
      </c>
    </row>
    <row r="431">
      <c r="A431" s="2" t="n">
        <v>46151</v>
      </c>
      <c r="B431" t="inlineStr">
        <is>
          <t>Receita</t>
        </is>
      </c>
      <c r="C431" t="inlineStr">
        <is>
          <t>Dinheiro</t>
        </is>
      </c>
      <c r="D431" t="inlineStr">
        <is>
          <t>Vendas do dia (sáb)</t>
        </is>
      </c>
      <c r="E431" s="3" t="n">
        <v>761.66</v>
      </c>
      <c r="F431" s="3" t="n"/>
      <c r="G431" s="3">
        <f>G430+IFERROR(E431,0)-IFERROR(F431,0)</f>
        <v/>
      </c>
    </row>
    <row r="432">
      <c r="A432" s="2" t="n">
        <v>46152</v>
      </c>
      <c r="B432" t="inlineStr">
        <is>
          <t>Despesa variável</t>
        </is>
      </c>
      <c r="C432" t="inlineStr">
        <is>
          <t>Comissão</t>
        </is>
      </c>
      <c r="D432" t="inlineStr">
        <is>
          <t>Comissão garçom (dom)</t>
        </is>
      </c>
      <c r="E432" s="3" t="n"/>
      <c r="F432" s="3" t="n">
        <v>905.04</v>
      </c>
      <c r="G432" s="3">
        <f>G431+IFERROR(E432,0)-IFERROR(F432,0)</f>
        <v/>
      </c>
    </row>
    <row r="433">
      <c r="A433" s="2" t="n">
        <v>46152</v>
      </c>
      <c r="B433" t="inlineStr">
        <is>
          <t>Receita</t>
        </is>
      </c>
      <c r="C433" t="inlineStr">
        <is>
          <t>Cartão crédito</t>
        </is>
      </c>
      <c r="D433" t="inlineStr">
        <is>
          <t>Vendas do dia (dom)</t>
        </is>
      </c>
      <c r="E433" s="3" t="n">
        <v>6663.08</v>
      </c>
      <c r="F433" s="3" t="n"/>
      <c r="G433" s="3">
        <f>G432+IFERROR(E433,0)-IFERROR(F433,0)</f>
        <v/>
      </c>
    </row>
    <row r="434">
      <c r="A434" s="2" t="n">
        <v>46152</v>
      </c>
      <c r="B434" t="inlineStr">
        <is>
          <t>Receita</t>
        </is>
      </c>
      <c r="C434" t="inlineStr">
        <is>
          <t>Cartão débito</t>
        </is>
      </c>
      <c r="D434" t="inlineStr">
        <is>
          <t>Vendas do dia (dom)</t>
        </is>
      </c>
      <c r="E434" s="3" t="n">
        <v>3257.5</v>
      </c>
      <c r="F434" s="3" t="n"/>
      <c r="G434" s="3">
        <f>G433+IFERROR(E434,0)-IFERROR(F434,0)</f>
        <v/>
      </c>
    </row>
    <row r="435">
      <c r="A435" s="2" t="n">
        <v>46152</v>
      </c>
      <c r="B435" t="inlineStr">
        <is>
          <t>Receita</t>
        </is>
      </c>
      <c r="C435" t="inlineStr">
        <is>
          <t>PIX</t>
        </is>
      </c>
      <c r="D435" t="inlineStr">
        <is>
          <t>Vendas do dia (dom)</t>
        </is>
      </c>
      <c r="E435" s="3" t="n">
        <v>2665.23</v>
      </c>
      <c r="F435" s="3" t="n"/>
      <c r="G435" s="3">
        <f>G434+IFERROR(E435,0)-IFERROR(F435,0)</f>
        <v/>
      </c>
    </row>
    <row r="436">
      <c r="A436" s="2" t="n">
        <v>46152</v>
      </c>
      <c r="B436" t="inlineStr">
        <is>
          <t>Receita</t>
        </is>
      </c>
      <c r="C436" t="inlineStr">
        <is>
          <t>Dinheiro</t>
        </is>
      </c>
      <c r="D436" t="inlineStr">
        <is>
          <t>Vendas do dia (dom)</t>
        </is>
      </c>
      <c r="E436" s="3" t="n">
        <v>740.34</v>
      </c>
      <c r="F436" s="3" t="n"/>
      <c r="G436" s="3">
        <f>G435+IFERROR(E436,0)-IFERROR(F436,0)</f>
        <v/>
      </c>
    </row>
    <row r="437">
      <c r="A437" s="2" t="n">
        <v>46152</v>
      </c>
      <c r="B437" t="inlineStr">
        <is>
          <t>Sócios</t>
        </is>
      </c>
      <c r="C437" t="inlineStr">
        <is>
          <t>Pró-labore</t>
        </is>
      </c>
      <c r="D437" t="inlineStr">
        <is>
          <t>Sócio A — mai/2026</t>
        </is>
      </c>
      <c r="E437" s="3" t="n"/>
      <c r="F437" s="3" t="n">
        <v>8000</v>
      </c>
      <c r="G437" s="3">
        <f>G436+IFERROR(E437,0)-IFERROR(F437,0)</f>
        <v/>
      </c>
    </row>
    <row r="438">
      <c r="A438" s="2" t="n">
        <v>46152</v>
      </c>
      <c r="B438" t="inlineStr">
        <is>
          <t>Sócios</t>
        </is>
      </c>
      <c r="C438" t="inlineStr">
        <is>
          <t>Pró-labore</t>
        </is>
      </c>
      <c r="D438" t="inlineStr">
        <is>
          <t>Sócio B — mai/2026</t>
        </is>
      </c>
      <c r="E438" s="3" t="n"/>
      <c r="F438" s="3" t="n">
        <v>8000</v>
      </c>
      <c r="G438" s="3">
        <f>G437+IFERROR(E438,0)-IFERROR(F438,0)</f>
        <v/>
      </c>
    </row>
    <row r="439">
      <c r="A439" s="2" t="n">
        <v>46153</v>
      </c>
      <c r="B439" t="inlineStr">
        <is>
          <t>Despesa fixa</t>
        </is>
      </c>
      <c r="C439" t="inlineStr">
        <is>
          <t>Outras operacionais</t>
        </is>
      </c>
      <c r="D439" t="inlineStr">
        <is>
          <t>Despesas operacionais diversas</t>
        </is>
      </c>
      <c r="E439" s="3" t="n"/>
      <c r="F439" s="3" t="n">
        <v>2147.58</v>
      </c>
      <c r="G439" s="3">
        <f>G438+IFERROR(E439,0)-IFERROR(F439,0)</f>
        <v/>
      </c>
    </row>
    <row r="440">
      <c r="A440" s="2" t="n">
        <v>46153</v>
      </c>
      <c r="B440" t="inlineStr">
        <is>
          <t>Fornecedor</t>
        </is>
      </c>
      <c r="C440" t="inlineStr">
        <is>
          <t>Hortifruti</t>
        </is>
      </c>
      <c r="D440" t="inlineStr">
        <is>
          <t>Feira semanal — Ceasa</t>
        </is>
      </c>
      <c r="E440" s="3" t="n"/>
      <c r="F440" s="3" t="n">
        <v>1128.4</v>
      </c>
      <c r="G440" s="3">
        <f>G439+IFERROR(E440,0)-IFERROR(F440,0)</f>
        <v/>
      </c>
    </row>
    <row r="441">
      <c r="A441" s="2" t="n">
        <v>46153</v>
      </c>
      <c r="B441" t="inlineStr">
        <is>
          <t>Fornecedor</t>
        </is>
      </c>
      <c r="C441" t="inlineStr">
        <is>
          <t>Bebidas</t>
        </is>
      </c>
      <c r="D441" t="inlineStr">
        <is>
          <t>Distribuidora Norte</t>
        </is>
      </c>
      <c r="E441" s="3" t="n"/>
      <c r="F441" s="3" t="n">
        <v>4488.92</v>
      </c>
      <c r="G441" s="3">
        <f>G440+IFERROR(E441,0)-IFERROR(F441,0)</f>
        <v/>
      </c>
    </row>
    <row r="442">
      <c r="A442" s="2" t="n">
        <v>46153</v>
      </c>
      <c r="B442" t="inlineStr">
        <is>
          <t>Receita</t>
        </is>
      </c>
      <c r="C442" t="inlineStr">
        <is>
          <t>Cartão crédito</t>
        </is>
      </c>
      <c r="D442" t="inlineStr">
        <is>
          <t>Vendas do dia (seg)</t>
        </is>
      </c>
      <c r="E442" s="3" t="n">
        <v>1752.35</v>
      </c>
      <c r="F442" s="3" t="n"/>
      <c r="G442" s="3">
        <f>G441+IFERROR(E442,0)-IFERROR(F442,0)</f>
        <v/>
      </c>
    </row>
    <row r="443">
      <c r="A443" s="2" t="n">
        <v>46153</v>
      </c>
      <c r="B443" t="inlineStr">
        <is>
          <t>Receita</t>
        </is>
      </c>
      <c r="C443" t="inlineStr">
        <is>
          <t>Cartão débito</t>
        </is>
      </c>
      <c r="D443" t="inlineStr">
        <is>
          <t>Vendas do dia (seg)</t>
        </is>
      </c>
      <c r="E443" s="3" t="n">
        <v>856.7</v>
      </c>
      <c r="F443" s="3" t="n"/>
      <c r="G443" s="3">
        <f>G442+IFERROR(E443,0)-IFERROR(F443,0)</f>
        <v/>
      </c>
    </row>
    <row r="444">
      <c r="A444" s="2" t="n">
        <v>46153</v>
      </c>
      <c r="B444" t="inlineStr">
        <is>
          <t>Receita</t>
        </is>
      </c>
      <c r="C444" t="inlineStr">
        <is>
          <t>PIX</t>
        </is>
      </c>
      <c r="D444" t="inlineStr">
        <is>
          <t>Vendas do dia (seg)</t>
        </is>
      </c>
      <c r="E444" s="3" t="n">
        <v>700.9400000000001</v>
      </c>
      <c r="F444" s="3" t="n"/>
      <c r="G444" s="3">
        <f>G443+IFERROR(E444,0)-IFERROR(F444,0)</f>
        <v/>
      </c>
    </row>
    <row r="445">
      <c r="A445" s="2" t="n">
        <v>46153</v>
      </c>
      <c r="B445" t="inlineStr">
        <is>
          <t>Receita</t>
        </is>
      </c>
      <c r="C445" t="inlineStr">
        <is>
          <t>Dinheiro</t>
        </is>
      </c>
      <c r="D445" t="inlineStr">
        <is>
          <t>Vendas do dia (seg)</t>
        </is>
      </c>
      <c r="E445" s="3" t="n">
        <v>194.71</v>
      </c>
      <c r="F445" s="3" t="n"/>
      <c r="G445" s="3">
        <f>G444+IFERROR(E445,0)-IFERROR(F445,0)</f>
        <v/>
      </c>
    </row>
    <row r="446">
      <c r="A446" s="2" t="n">
        <v>46154</v>
      </c>
      <c r="B446" t="inlineStr">
        <is>
          <t>Despesa fixa</t>
        </is>
      </c>
      <c r="C446" t="inlineStr">
        <is>
          <t>Energia</t>
        </is>
      </c>
      <c r="D446" t="inlineStr">
        <is>
          <t>Enel — mai/2026</t>
        </is>
      </c>
      <c r="E446" s="3" t="n"/>
      <c r="F446" s="3" t="n">
        <v>3880</v>
      </c>
      <c r="G446" s="3">
        <f>G445+IFERROR(E446,0)-IFERROR(F446,0)</f>
        <v/>
      </c>
    </row>
    <row r="447">
      <c r="A447" s="2" t="n">
        <v>46154</v>
      </c>
      <c r="B447" t="inlineStr">
        <is>
          <t>Fornecedor</t>
        </is>
      </c>
      <c r="C447" t="inlineStr">
        <is>
          <t>Cárneas</t>
        </is>
      </c>
      <c r="D447" t="inlineStr">
        <is>
          <t>Açougue Boi Forte</t>
        </is>
      </c>
      <c r="E447" s="3" t="n"/>
      <c r="F447" s="3" t="n">
        <v>2904.88</v>
      </c>
      <c r="G447" s="3">
        <f>G446+IFERROR(E447,0)-IFERROR(F447,0)</f>
        <v/>
      </c>
    </row>
    <row r="448">
      <c r="A448" s="2" t="n">
        <v>46154</v>
      </c>
      <c r="B448" t="inlineStr">
        <is>
          <t>Receita</t>
        </is>
      </c>
      <c r="C448" t="inlineStr">
        <is>
          <t>Cartão crédito</t>
        </is>
      </c>
      <c r="D448" t="inlineStr">
        <is>
          <t>Vendas do dia (ter)</t>
        </is>
      </c>
      <c r="E448" s="3" t="n">
        <v>2551.13</v>
      </c>
      <c r="F448" s="3" t="n"/>
      <c r="G448" s="3">
        <f>G447+IFERROR(E448,0)-IFERROR(F448,0)</f>
        <v/>
      </c>
    </row>
    <row r="449">
      <c r="A449" s="2" t="n">
        <v>46154</v>
      </c>
      <c r="B449" t="inlineStr">
        <is>
          <t>Receita</t>
        </is>
      </c>
      <c r="C449" t="inlineStr">
        <is>
          <t>Cartão débito</t>
        </is>
      </c>
      <c r="D449" t="inlineStr">
        <is>
          <t>Vendas do dia (ter)</t>
        </is>
      </c>
      <c r="E449" s="3" t="n">
        <v>1247.22</v>
      </c>
      <c r="F449" s="3" t="n"/>
      <c r="G449" s="3">
        <f>G448+IFERROR(E449,0)-IFERROR(F449,0)</f>
        <v/>
      </c>
    </row>
    <row r="450">
      <c r="A450" s="2" t="n">
        <v>46154</v>
      </c>
      <c r="B450" t="inlineStr">
        <is>
          <t>Receita</t>
        </is>
      </c>
      <c r="C450" t="inlineStr">
        <is>
          <t>PIX</t>
        </is>
      </c>
      <c r="D450" t="inlineStr">
        <is>
          <t>Vendas do dia (ter)</t>
        </is>
      </c>
      <c r="E450" s="3" t="n">
        <v>1020.45</v>
      </c>
      <c r="F450" s="3" t="n"/>
      <c r="G450" s="3">
        <f>G449+IFERROR(E450,0)-IFERROR(F450,0)</f>
        <v/>
      </c>
    </row>
    <row r="451">
      <c r="A451" s="2" t="n">
        <v>46154</v>
      </c>
      <c r="B451" t="inlineStr">
        <is>
          <t>Receita</t>
        </is>
      </c>
      <c r="C451" t="inlineStr">
        <is>
          <t>Dinheiro</t>
        </is>
      </c>
      <c r="D451" t="inlineStr">
        <is>
          <t>Vendas do dia (ter)</t>
        </is>
      </c>
      <c r="E451" s="3" t="n">
        <v>283.46</v>
      </c>
      <c r="F451" s="3" t="n"/>
      <c r="G451" s="3">
        <f>G450+IFERROR(E451,0)-IFERROR(F451,0)</f>
        <v/>
      </c>
    </row>
    <row r="452">
      <c r="A452" s="2" t="n">
        <v>46154</v>
      </c>
      <c r="B452" t="inlineStr">
        <is>
          <t>Receita</t>
        </is>
      </c>
      <c r="C452" t="inlineStr">
        <is>
          <t>iFood</t>
        </is>
      </c>
      <c r="D452" t="inlineStr">
        <is>
          <t>Repasse semanal iFood</t>
        </is>
      </c>
      <c r="E452" s="3" t="n">
        <v>7295.65</v>
      </c>
      <c r="F452" s="3" t="n"/>
      <c r="G452" s="3">
        <f>G451+IFERROR(E452,0)-IFERROR(F452,0)</f>
        <v/>
      </c>
    </row>
    <row r="453">
      <c r="A453" s="2" t="n">
        <v>46155</v>
      </c>
      <c r="B453" t="inlineStr">
        <is>
          <t>Despesa fixa</t>
        </is>
      </c>
      <c r="C453" t="inlineStr">
        <is>
          <t>Gás</t>
        </is>
      </c>
      <c r="D453" t="inlineStr">
        <is>
          <t>Recarga GLP</t>
        </is>
      </c>
      <c r="E453" s="3" t="n"/>
      <c r="F453" s="3" t="n">
        <v>990</v>
      </c>
      <c r="G453" s="3">
        <f>G452+IFERROR(E453,0)-IFERROR(F453,0)</f>
        <v/>
      </c>
    </row>
    <row r="454">
      <c r="A454" s="2" t="n">
        <v>46155</v>
      </c>
      <c r="B454" t="inlineStr">
        <is>
          <t>Fornecedor</t>
        </is>
      </c>
      <c r="C454" t="inlineStr">
        <is>
          <t>Hortifruti</t>
        </is>
      </c>
      <c r="D454" t="inlineStr">
        <is>
          <t>Reposição hortifruti</t>
        </is>
      </c>
      <c r="E454" s="3" t="n"/>
      <c r="F454" s="3" t="n">
        <v>791.58</v>
      </c>
      <c r="G454" s="3">
        <f>G453+IFERROR(E454,0)-IFERROR(F454,0)</f>
        <v/>
      </c>
    </row>
    <row r="455">
      <c r="A455" s="2" t="n">
        <v>46155</v>
      </c>
      <c r="B455" t="inlineStr">
        <is>
          <t>Fornecedor</t>
        </is>
      </c>
      <c r="C455" t="inlineStr">
        <is>
          <t>Mercearia</t>
        </is>
      </c>
      <c r="D455" t="inlineStr">
        <is>
          <t>Atacado mercearia</t>
        </is>
      </c>
      <c r="E455" s="3" t="n"/>
      <c r="F455" s="3" t="n">
        <v>2316.81</v>
      </c>
      <c r="G455" s="3">
        <f>G454+IFERROR(E455,0)-IFERROR(F455,0)</f>
        <v/>
      </c>
    </row>
    <row r="456">
      <c r="A456" s="2" t="n">
        <v>46155</v>
      </c>
      <c r="B456" t="inlineStr">
        <is>
          <t>Receita</t>
        </is>
      </c>
      <c r="C456" t="inlineStr">
        <is>
          <t>Cartão crédito</t>
        </is>
      </c>
      <c r="D456" t="inlineStr">
        <is>
          <t>Vendas do dia (qua)</t>
        </is>
      </c>
      <c r="E456" s="3" t="n">
        <v>2384.46</v>
      </c>
      <c r="F456" s="3" t="n"/>
      <c r="G456" s="3">
        <f>G455+IFERROR(E456,0)-IFERROR(F456,0)</f>
        <v/>
      </c>
    </row>
    <row r="457">
      <c r="A457" s="2" t="n">
        <v>46155</v>
      </c>
      <c r="B457" t="inlineStr">
        <is>
          <t>Receita</t>
        </is>
      </c>
      <c r="C457" t="inlineStr">
        <is>
          <t>Cartão débito</t>
        </is>
      </c>
      <c r="D457" t="inlineStr">
        <is>
          <t>Vendas do dia (qua)</t>
        </is>
      </c>
      <c r="E457" s="3" t="n">
        <v>1165.74</v>
      </c>
      <c r="F457" s="3" t="n"/>
      <c r="G457" s="3">
        <f>G456+IFERROR(E457,0)-IFERROR(F457,0)</f>
        <v/>
      </c>
    </row>
    <row r="458">
      <c r="A458" s="2" t="n">
        <v>46155</v>
      </c>
      <c r="B458" t="inlineStr">
        <is>
          <t>Receita</t>
        </is>
      </c>
      <c r="C458" t="inlineStr">
        <is>
          <t>PIX</t>
        </is>
      </c>
      <c r="D458" t="inlineStr">
        <is>
          <t>Vendas do dia (qua)</t>
        </is>
      </c>
      <c r="E458" s="3" t="n">
        <v>953.78</v>
      </c>
      <c r="F458" s="3" t="n"/>
      <c r="G458" s="3">
        <f>G457+IFERROR(E458,0)-IFERROR(F458,0)</f>
        <v/>
      </c>
    </row>
    <row r="459">
      <c r="A459" s="2" t="n">
        <v>46155</v>
      </c>
      <c r="B459" t="inlineStr">
        <is>
          <t>Receita</t>
        </is>
      </c>
      <c r="C459" t="inlineStr">
        <is>
          <t>Dinheiro</t>
        </is>
      </c>
      <c r="D459" t="inlineStr">
        <is>
          <t>Vendas do dia (qua)</t>
        </is>
      </c>
      <c r="E459" s="3" t="n">
        <v>264.94</v>
      </c>
      <c r="F459" s="3" t="n"/>
      <c r="G459" s="3">
        <f>G458+IFERROR(E459,0)-IFERROR(F459,0)</f>
        <v/>
      </c>
    </row>
    <row r="460">
      <c r="A460" s="2" t="n">
        <v>46156</v>
      </c>
      <c r="B460" t="inlineStr">
        <is>
          <t>Receita</t>
        </is>
      </c>
      <c r="C460" t="inlineStr">
        <is>
          <t>Cartão crédito</t>
        </is>
      </c>
      <c r="D460" t="inlineStr">
        <is>
          <t>Vendas do dia (qui)</t>
        </is>
      </c>
      <c r="E460" s="3" t="n">
        <v>3171.74</v>
      </c>
      <c r="F460" s="3" t="n"/>
      <c r="G460" s="3">
        <f>G459+IFERROR(E460,0)-IFERROR(F460,0)</f>
        <v/>
      </c>
    </row>
    <row r="461">
      <c r="A461" s="2" t="n">
        <v>46156</v>
      </c>
      <c r="B461" t="inlineStr">
        <is>
          <t>Receita</t>
        </is>
      </c>
      <c r="C461" t="inlineStr">
        <is>
          <t>Cartão débito</t>
        </is>
      </c>
      <c r="D461" t="inlineStr">
        <is>
          <t>Vendas do dia (qui)</t>
        </is>
      </c>
      <c r="E461" s="3" t="n">
        <v>1550.63</v>
      </c>
      <c r="F461" s="3" t="n"/>
      <c r="G461" s="3">
        <f>G460+IFERROR(E461,0)-IFERROR(F461,0)</f>
        <v/>
      </c>
    </row>
    <row r="462">
      <c r="A462" s="2" t="n">
        <v>46156</v>
      </c>
      <c r="B462" t="inlineStr">
        <is>
          <t>Receita</t>
        </is>
      </c>
      <c r="C462" t="inlineStr">
        <is>
          <t>PIX</t>
        </is>
      </c>
      <c r="D462" t="inlineStr">
        <is>
          <t>Vendas do dia (qui)</t>
        </is>
      </c>
      <c r="E462" s="3" t="n">
        <v>1268.69</v>
      </c>
      <c r="F462" s="3" t="n"/>
      <c r="G462" s="3">
        <f>G461+IFERROR(E462,0)-IFERROR(F462,0)</f>
        <v/>
      </c>
    </row>
    <row r="463">
      <c r="A463" s="2" t="n">
        <v>46156</v>
      </c>
      <c r="B463" t="inlineStr">
        <is>
          <t>Receita</t>
        </is>
      </c>
      <c r="C463" t="inlineStr">
        <is>
          <t>Dinheiro</t>
        </is>
      </c>
      <c r="D463" t="inlineStr">
        <is>
          <t>Vendas do dia (qui)</t>
        </is>
      </c>
      <c r="E463" s="3" t="n">
        <v>352.42</v>
      </c>
      <c r="F463" s="3" t="n"/>
      <c r="G463" s="3">
        <f>G462+IFERROR(E463,0)-IFERROR(F463,0)</f>
        <v/>
      </c>
    </row>
    <row r="464">
      <c r="A464" s="2" t="n">
        <v>46157</v>
      </c>
      <c r="B464" t="inlineStr">
        <is>
          <t>Despesa fixa</t>
        </is>
      </c>
      <c r="C464" t="inlineStr">
        <is>
          <t>Folha</t>
        </is>
      </c>
      <c r="D464" t="inlineStr">
        <is>
          <t>Folha 1ª quinzena</t>
        </is>
      </c>
      <c r="E464" s="3" t="n"/>
      <c r="F464" s="3" t="n">
        <v>26380</v>
      </c>
      <c r="G464" s="3">
        <f>G463+IFERROR(E464,0)-IFERROR(F464,0)</f>
        <v/>
      </c>
    </row>
    <row r="465">
      <c r="A465" s="2" t="n">
        <v>46157</v>
      </c>
      <c r="B465" t="inlineStr">
        <is>
          <t>Fornecedor</t>
        </is>
      </c>
      <c r="C465" t="inlineStr">
        <is>
          <t>Cárneas</t>
        </is>
      </c>
      <c r="D465" t="inlineStr">
        <is>
          <t>Açougue Boi Forte</t>
        </is>
      </c>
      <c r="E465" s="3" t="n"/>
      <c r="F465" s="3" t="n">
        <v>3286.5</v>
      </c>
      <c r="G465" s="3">
        <f>G464+IFERROR(E465,0)-IFERROR(F465,0)</f>
        <v/>
      </c>
    </row>
    <row r="466">
      <c r="A466" s="2" t="n">
        <v>46157</v>
      </c>
      <c r="B466" t="inlineStr">
        <is>
          <t>Fornecedor</t>
        </is>
      </c>
      <c r="C466" t="inlineStr">
        <is>
          <t>Laticínios</t>
        </is>
      </c>
      <c r="D466" t="inlineStr">
        <is>
          <t>Laticínios semana</t>
        </is>
      </c>
      <c r="E466" s="3" t="n"/>
      <c r="F466" s="3" t="n">
        <v>951.59</v>
      </c>
      <c r="G466" s="3">
        <f>G465+IFERROR(E466,0)-IFERROR(F466,0)</f>
        <v/>
      </c>
    </row>
    <row r="467">
      <c r="A467" s="2" t="n">
        <v>46157</v>
      </c>
      <c r="B467" t="inlineStr">
        <is>
          <t>Receita</t>
        </is>
      </c>
      <c r="C467" t="inlineStr">
        <is>
          <t>Cartão crédito</t>
        </is>
      </c>
      <c r="D467" t="inlineStr">
        <is>
          <t>Vendas do dia (sex)</t>
        </is>
      </c>
      <c r="E467" s="3" t="n">
        <v>5396.68</v>
      </c>
      <c r="F467" s="3" t="n"/>
      <c r="G467" s="3">
        <f>G466+IFERROR(E467,0)-IFERROR(F467,0)</f>
        <v/>
      </c>
    </row>
    <row r="468">
      <c r="A468" s="2" t="n">
        <v>46157</v>
      </c>
      <c r="B468" t="inlineStr">
        <is>
          <t>Receita</t>
        </is>
      </c>
      <c r="C468" t="inlineStr">
        <is>
          <t>Cartão débito</t>
        </is>
      </c>
      <c r="D468" t="inlineStr">
        <is>
          <t>Vendas do dia (sex)</t>
        </is>
      </c>
      <c r="E468" s="3" t="n">
        <v>2638.37</v>
      </c>
      <c r="F468" s="3" t="n"/>
      <c r="G468" s="3">
        <f>G467+IFERROR(E468,0)-IFERROR(F468,0)</f>
        <v/>
      </c>
    </row>
    <row r="469">
      <c r="A469" s="2" t="n">
        <v>46157</v>
      </c>
      <c r="B469" t="inlineStr">
        <is>
          <t>Receita</t>
        </is>
      </c>
      <c r="C469" t="inlineStr">
        <is>
          <t>PIX</t>
        </is>
      </c>
      <c r="D469" t="inlineStr">
        <is>
          <t>Vendas do dia (sex)</t>
        </is>
      </c>
      <c r="E469" s="3" t="n">
        <v>2158.67</v>
      </c>
      <c r="F469" s="3" t="n"/>
      <c r="G469" s="3">
        <f>G468+IFERROR(E469,0)-IFERROR(F469,0)</f>
        <v/>
      </c>
    </row>
    <row r="470">
      <c r="A470" s="2" t="n">
        <v>46157</v>
      </c>
      <c r="B470" t="inlineStr">
        <is>
          <t>Receita</t>
        </is>
      </c>
      <c r="C470" t="inlineStr">
        <is>
          <t>Dinheiro</t>
        </is>
      </c>
      <c r="D470" t="inlineStr">
        <is>
          <t>Vendas do dia (sex)</t>
        </is>
      </c>
      <c r="E470" s="3" t="n">
        <v>599.63</v>
      </c>
      <c r="F470" s="3" t="n"/>
      <c r="G470" s="3">
        <f>G469+IFERROR(E470,0)-IFERROR(F470,0)</f>
        <v/>
      </c>
    </row>
    <row r="471">
      <c r="A471" s="2" t="n">
        <v>46158</v>
      </c>
      <c r="B471" t="inlineStr">
        <is>
          <t>Despesa variável</t>
        </is>
      </c>
      <c r="C471" t="inlineStr">
        <is>
          <t>Comissão</t>
        </is>
      </c>
      <c r="D471" t="inlineStr">
        <is>
          <t>Comissão garçom (sáb)</t>
        </is>
      </c>
      <c r="E471" s="3" t="n"/>
      <c r="F471" s="3" t="n">
        <v>1188.26</v>
      </c>
      <c r="G471" s="3">
        <f>G470+IFERROR(E471,0)-IFERROR(F471,0)</f>
        <v/>
      </c>
    </row>
    <row r="472">
      <c r="A472" s="2" t="n">
        <v>46158</v>
      </c>
      <c r="B472" t="inlineStr">
        <is>
          <t>Receita</t>
        </is>
      </c>
      <c r="C472" t="inlineStr">
        <is>
          <t>Cartão crédito</t>
        </is>
      </c>
      <c r="D472" t="inlineStr">
        <is>
          <t>Vendas do dia (sáb)</t>
        </is>
      </c>
      <c r="E472" s="3" t="n">
        <v>7446.43</v>
      </c>
      <c r="F472" s="3" t="n"/>
      <c r="G472" s="3">
        <f>G471+IFERROR(E472,0)-IFERROR(F472,0)</f>
        <v/>
      </c>
    </row>
    <row r="473">
      <c r="A473" s="2" t="n">
        <v>46158</v>
      </c>
      <c r="B473" t="inlineStr">
        <is>
          <t>Receita</t>
        </is>
      </c>
      <c r="C473" t="inlineStr">
        <is>
          <t>Cartão débito</t>
        </is>
      </c>
      <c r="D473" t="inlineStr">
        <is>
          <t>Vendas do dia (sáb)</t>
        </is>
      </c>
      <c r="E473" s="3" t="n">
        <v>3640.48</v>
      </c>
      <c r="F473" s="3" t="n"/>
      <c r="G473" s="3">
        <f>G472+IFERROR(E473,0)-IFERROR(F473,0)</f>
        <v/>
      </c>
    </row>
    <row r="474">
      <c r="A474" s="2" t="n">
        <v>46158</v>
      </c>
      <c r="B474" t="inlineStr">
        <is>
          <t>Receita</t>
        </is>
      </c>
      <c r="C474" t="inlineStr">
        <is>
          <t>PIX</t>
        </is>
      </c>
      <c r="D474" t="inlineStr">
        <is>
          <t>Vendas do dia (sáb)</t>
        </is>
      </c>
      <c r="E474" s="3" t="n">
        <v>2978.57</v>
      </c>
      <c r="F474" s="3" t="n"/>
      <c r="G474" s="3">
        <f>G473+IFERROR(E474,0)-IFERROR(F474,0)</f>
        <v/>
      </c>
    </row>
    <row r="475">
      <c r="A475" s="2" t="n">
        <v>46158</v>
      </c>
      <c r="B475" t="inlineStr">
        <is>
          <t>Receita</t>
        </is>
      </c>
      <c r="C475" t="inlineStr">
        <is>
          <t>Dinheiro</t>
        </is>
      </c>
      <c r="D475" t="inlineStr">
        <is>
          <t>Vendas do dia (sáb)</t>
        </is>
      </c>
      <c r="E475" s="3" t="n">
        <v>827.38</v>
      </c>
      <c r="F475" s="3" t="n"/>
      <c r="G475" s="3">
        <f>G474+IFERROR(E475,0)-IFERROR(F475,0)</f>
        <v/>
      </c>
    </row>
    <row r="476">
      <c r="A476" s="2" t="n">
        <v>46158</v>
      </c>
      <c r="B476" t="inlineStr">
        <is>
          <t>Receita</t>
        </is>
      </c>
      <c r="C476" t="inlineStr">
        <is>
          <t>Eventos</t>
        </is>
      </c>
      <c r="D476" t="inlineStr">
        <is>
          <t>Buffet externo — empresa</t>
        </is>
      </c>
      <c r="E476" s="3" t="n">
        <v>6800</v>
      </c>
      <c r="F476" s="3" t="n"/>
      <c r="G476" s="3">
        <f>G475+IFERROR(E476,0)-IFERROR(F476,0)</f>
        <v/>
      </c>
    </row>
    <row r="477">
      <c r="A477" s="2" t="n">
        <v>46159</v>
      </c>
      <c r="B477" t="inlineStr">
        <is>
          <t>Despesa variável</t>
        </is>
      </c>
      <c r="C477" t="inlineStr">
        <is>
          <t>Marketing</t>
        </is>
      </c>
      <c r="D477" t="inlineStr">
        <is>
          <t>Tráfego pago — Meta Ads</t>
        </is>
      </c>
      <c r="E477" s="3" t="n"/>
      <c r="F477" s="3" t="n">
        <v>1658</v>
      </c>
      <c r="G477" s="3">
        <f>G476+IFERROR(E477,0)-IFERROR(F477,0)</f>
        <v/>
      </c>
    </row>
    <row r="478">
      <c r="A478" s="2" t="n">
        <v>46159</v>
      </c>
      <c r="B478" t="inlineStr">
        <is>
          <t>Despesa variável</t>
        </is>
      </c>
      <c r="C478" t="inlineStr">
        <is>
          <t>Comissão</t>
        </is>
      </c>
      <c r="D478" t="inlineStr">
        <is>
          <t>Comissão garçom (dom)</t>
        </is>
      </c>
      <c r="E478" s="3" t="n"/>
      <c r="F478" s="3" t="n">
        <v>1076.32</v>
      </c>
      <c r="G478" s="3">
        <f>G477+IFERROR(E478,0)-IFERROR(F478,0)</f>
        <v/>
      </c>
    </row>
    <row r="479">
      <c r="A479" s="2" t="n">
        <v>46159</v>
      </c>
      <c r="B479" t="inlineStr">
        <is>
          <t>Receita</t>
        </is>
      </c>
      <c r="C479" t="inlineStr">
        <is>
          <t>Cartão crédito</t>
        </is>
      </c>
      <c r="D479" t="inlineStr">
        <is>
          <t>Vendas do dia (dom)</t>
        </is>
      </c>
      <c r="E479" s="3" t="n">
        <v>5604.55</v>
      </c>
      <c r="F479" s="3" t="n"/>
      <c r="G479" s="3">
        <f>G478+IFERROR(E479,0)-IFERROR(F479,0)</f>
        <v/>
      </c>
    </row>
    <row r="480">
      <c r="A480" s="2" t="n">
        <v>46159</v>
      </c>
      <c r="B480" t="inlineStr">
        <is>
          <t>Receita</t>
        </is>
      </c>
      <c r="C480" t="inlineStr">
        <is>
          <t>Cartão débito</t>
        </is>
      </c>
      <c r="D480" t="inlineStr">
        <is>
          <t>Vendas do dia (dom)</t>
        </is>
      </c>
      <c r="E480" s="3" t="n">
        <v>2740</v>
      </c>
      <c r="F480" s="3" t="n"/>
      <c r="G480" s="3">
        <f>G479+IFERROR(E480,0)-IFERROR(F480,0)</f>
        <v/>
      </c>
    </row>
    <row r="481">
      <c r="A481" s="2" t="n">
        <v>46159</v>
      </c>
      <c r="B481" t="inlineStr">
        <is>
          <t>Receita</t>
        </is>
      </c>
      <c r="C481" t="inlineStr">
        <is>
          <t>PIX</t>
        </is>
      </c>
      <c r="D481" t="inlineStr">
        <is>
          <t>Vendas do dia (dom)</t>
        </is>
      </c>
      <c r="E481" s="3" t="n">
        <v>2241.82</v>
      </c>
      <c r="F481" s="3" t="n"/>
      <c r="G481" s="3">
        <f>G480+IFERROR(E481,0)-IFERROR(F481,0)</f>
        <v/>
      </c>
    </row>
    <row r="482">
      <c r="A482" s="2" t="n">
        <v>46159</v>
      </c>
      <c r="B482" t="inlineStr">
        <is>
          <t>Receita</t>
        </is>
      </c>
      <c r="C482" t="inlineStr">
        <is>
          <t>Dinheiro</t>
        </is>
      </c>
      <c r="D482" t="inlineStr">
        <is>
          <t>Vendas do dia (dom)</t>
        </is>
      </c>
      <c r="E482" s="3" t="n">
        <v>622.73</v>
      </c>
      <c r="F482" s="3" t="n"/>
      <c r="G482" s="3">
        <f>G481+IFERROR(E482,0)-IFERROR(F482,0)</f>
        <v/>
      </c>
    </row>
    <row r="483">
      <c r="A483" s="2" t="n">
        <v>46160</v>
      </c>
      <c r="B483" t="inlineStr">
        <is>
          <t>Despesa fixa</t>
        </is>
      </c>
      <c r="C483" t="inlineStr">
        <is>
          <t>Outras operacionais</t>
        </is>
      </c>
      <c r="D483" t="inlineStr">
        <is>
          <t>Despesas operacionais diversas</t>
        </is>
      </c>
      <c r="E483" s="3" t="n"/>
      <c r="F483" s="3" t="n">
        <v>3622.31</v>
      </c>
      <c r="G483" s="3">
        <f>G482+IFERROR(E483,0)-IFERROR(F483,0)</f>
        <v/>
      </c>
    </row>
    <row r="484">
      <c r="A484" s="2" t="n">
        <v>46160</v>
      </c>
      <c r="B484" t="inlineStr">
        <is>
          <t>Fornecedor</t>
        </is>
      </c>
      <c r="C484" t="inlineStr">
        <is>
          <t>Hortifruti</t>
        </is>
      </c>
      <c r="D484" t="inlineStr">
        <is>
          <t>Feira semanal — Ceasa</t>
        </is>
      </c>
      <c r="E484" s="3" t="n"/>
      <c r="F484" s="3" t="n">
        <v>1443.85</v>
      </c>
      <c r="G484" s="3">
        <f>G483+IFERROR(E484,0)-IFERROR(F484,0)</f>
        <v/>
      </c>
    </row>
    <row r="485">
      <c r="A485" s="2" t="n">
        <v>46160</v>
      </c>
      <c r="B485" t="inlineStr">
        <is>
          <t>Fornecedor</t>
        </is>
      </c>
      <c r="C485" t="inlineStr">
        <is>
          <t>Bebidas</t>
        </is>
      </c>
      <c r="D485" t="inlineStr">
        <is>
          <t>Distribuidora Norte</t>
        </is>
      </c>
      <c r="E485" s="3" t="n"/>
      <c r="F485" s="3" t="n">
        <v>3868.89</v>
      </c>
      <c r="G485" s="3">
        <f>G484+IFERROR(E485,0)-IFERROR(F485,0)</f>
        <v/>
      </c>
    </row>
    <row r="486">
      <c r="A486" s="2" t="n">
        <v>46160</v>
      </c>
      <c r="B486" t="inlineStr">
        <is>
          <t>Receita</t>
        </is>
      </c>
      <c r="C486" t="inlineStr">
        <is>
          <t>Cartão crédito</t>
        </is>
      </c>
      <c r="D486" t="inlineStr">
        <is>
          <t>Vendas do dia (seg)</t>
        </is>
      </c>
      <c r="E486" s="3" t="n">
        <v>1606.8</v>
      </c>
      <c r="F486" s="3" t="n"/>
      <c r="G486" s="3">
        <f>G485+IFERROR(E486,0)-IFERROR(F486,0)</f>
        <v/>
      </c>
    </row>
    <row r="487">
      <c r="A487" s="2" t="n">
        <v>46160</v>
      </c>
      <c r="B487" t="inlineStr">
        <is>
          <t>Receita</t>
        </is>
      </c>
      <c r="C487" t="inlineStr">
        <is>
          <t>Cartão débito</t>
        </is>
      </c>
      <c r="D487" t="inlineStr">
        <is>
          <t>Vendas do dia (seg)</t>
        </is>
      </c>
      <c r="E487" s="3" t="n">
        <v>785.55</v>
      </c>
      <c r="F487" s="3" t="n"/>
      <c r="G487" s="3">
        <f>G486+IFERROR(E487,0)-IFERROR(F487,0)</f>
        <v/>
      </c>
    </row>
    <row r="488">
      <c r="A488" s="2" t="n">
        <v>46160</v>
      </c>
      <c r="B488" t="inlineStr">
        <is>
          <t>Receita</t>
        </is>
      </c>
      <c r="C488" t="inlineStr">
        <is>
          <t>PIX</t>
        </is>
      </c>
      <c r="D488" t="inlineStr">
        <is>
          <t>Vendas do dia (seg)</t>
        </is>
      </c>
      <c r="E488" s="3" t="n">
        <v>642.72</v>
      </c>
      <c r="F488" s="3" t="n"/>
      <c r="G488" s="3">
        <f>G487+IFERROR(E488,0)-IFERROR(F488,0)</f>
        <v/>
      </c>
    </row>
    <row r="489">
      <c r="A489" s="2" t="n">
        <v>46160</v>
      </c>
      <c r="B489" t="inlineStr">
        <is>
          <t>Receita</t>
        </is>
      </c>
      <c r="C489" t="inlineStr">
        <is>
          <t>Dinheiro</t>
        </is>
      </c>
      <c r="D489" t="inlineStr">
        <is>
          <t>Vendas do dia (seg)</t>
        </is>
      </c>
      <c r="E489" s="3" t="n">
        <v>178.53</v>
      </c>
      <c r="F489" s="3" t="n"/>
      <c r="G489" s="3">
        <f>G488+IFERROR(E489,0)-IFERROR(F489,0)</f>
        <v/>
      </c>
    </row>
    <row r="490">
      <c r="A490" s="2" t="n">
        <v>46161</v>
      </c>
      <c r="B490" t="inlineStr">
        <is>
          <t>Despesa variável</t>
        </is>
      </c>
      <c r="C490" t="inlineStr">
        <is>
          <t>Taxa cartão</t>
        </is>
      </c>
      <c r="D490" t="inlineStr">
        <is>
          <t>Adquirente — taxa mai</t>
        </is>
      </c>
      <c r="E490" s="3" t="n"/>
      <c r="F490" s="3" t="n">
        <v>4180</v>
      </c>
      <c r="G490" s="3">
        <f>G489+IFERROR(E490,0)-IFERROR(F490,0)</f>
        <v/>
      </c>
    </row>
    <row r="491">
      <c r="A491" s="2" t="n">
        <v>46161</v>
      </c>
      <c r="B491" t="inlineStr">
        <is>
          <t>Fornecedor</t>
        </is>
      </c>
      <c r="C491" t="inlineStr">
        <is>
          <t>Cárneas</t>
        </is>
      </c>
      <c r="D491" t="inlineStr">
        <is>
          <t>Açougue Boi Forte</t>
        </is>
      </c>
      <c r="E491" s="3" t="n"/>
      <c r="F491" s="3" t="n">
        <v>2456.69</v>
      </c>
      <c r="G491" s="3">
        <f>G490+IFERROR(E491,0)-IFERROR(F491,0)</f>
        <v/>
      </c>
    </row>
    <row r="492">
      <c r="A492" s="2" t="n">
        <v>46161</v>
      </c>
      <c r="B492" t="inlineStr">
        <is>
          <t>Receita</t>
        </is>
      </c>
      <c r="C492" t="inlineStr">
        <is>
          <t>Cartão crédito</t>
        </is>
      </c>
      <c r="D492" t="inlineStr">
        <is>
          <t>Vendas do dia (ter)</t>
        </is>
      </c>
      <c r="E492" s="3" t="n">
        <v>2123.68</v>
      </c>
      <c r="F492" s="3" t="n"/>
      <c r="G492" s="3">
        <f>G491+IFERROR(E492,0)-IFERROR(F492,0)</f>
        <v/>
      </c>
    </row>
    <row r="493">
      <c r="A493" s="2" t="n">
        <v>46161</v>
      </c>
      <c r="B493" t="inlineStr">
        <is>
          <t>Receita</t>
        </is>
      </c>
      <c r="C493" t="inlineStr">
        <is>
          <t>Cartão débito</t>
        </is>
      </c>
      <c r="D493" t="inlineStr">
        <is>
          <t>Vendas do dia (ter)</t>
        </is>
      </c>
      <c r="E493" s="3" t="n">
        <v>1038.25</v>
      </c>
      <c r="F493" s="3" t="n"/>
      <c r="G493" s="3">
        <f>G492+IFERROR(E493,0)-IFERROR(F493,0)</f>
        <v/>
      </c>
    </row>
    <row r="494">
      <c r="A494" s="2" t="n">
        <v>46161</v>
      </c>
      <c r="B494" t="inlineStr">
        <is>
          <t>Receita</t>
        </is>
      </c>
      <c r="C494" t="inlineStr">
        <is>
          <t>PIX</t>
        </is>
      </c>
      <c r="D494" t="inlineStr">
        <is>
          <t>Vendas do dia (ter)</t>
        </is>
      </c>
      <c r="E494" s="3" t="n">
        <v>849.47</v>
      </c>
      <c r="F494" s="3" t="n"/>
      <c r="G494" s="3">
        <f>G493+IFERROR(E494,0)-IFERROR(F494,0)</f>
        <v/>
      </c>
    </row>
    <row r="495">
      <c r="A495" s="2" t="n">
        <v>46161</v>
      </c>
      <c r="B495" t="inlineStr">
        <is>
          <t>Receita</t>
        </is>
      </c>
      <c r="C495" t="inlineStr">
        <is>
          <t>Dinheiro</t>
        </is>
      </c>
      <c r="D495" t="inlineStr">
        <is>
          <t>Vendas do dia (ter)</t>
        </is>
      </c>
      <c r="E495" s="3" t="n">
        <v>235.96</v>
      </c>
      <c r="F495" s="3" t="n"/>
      <c r="G495" s="3">
        <f>G494+IFERROR(E495,0)-IFERROR(F495,0)</f>
        <v/>
      </c>
    </row>
    <row r="496">
      <c r="A496" s="2" t="n">
        <v>46161</v>
      </c>
      <c r="B496" t="inlineStr">
        <is>
          <t>Receita</t>
        </is>
      </c>
      <c r="C496" t="inlineStr">
        <is>
          <t>iFood</t>
        </is>
      </c>
      <c r="D496" t="inlineStr">
        <is>
          <t>Repasse semanal iFood</t>
        </is>
      </c>
      <c r="E496" s="3" t="n">
        <v>6754.89</v>
      </c>
      <c r="F496" s="3" t="n"/>
      <c r="G496" s="3">
        <f>G495+IFERROR(E496,0)-IFERROR(F496,0)</f>
        <v/>
      </c>
    </row>
    <row r="497">
      <c r="A497" s="2" t="n">
        <v>46162</v>
      </c>
      <c r="B497" t="inlineStr">
        <is>
          <t>Fornecedor</t>
        </is>
      </c>
      <c r="C497" t="inlineStr">
        <is>
          <t>Hortifruti</t>
        </is>
      </c>
      <c r="D497" t="inlineStr">
        <is>
          <t>Reposição hortifruti</t>
        </is>
      </c>
      <c r="E497" s="3" t="n"/>
      <c r="F497" s="3" t="n">
        <v>795.2</v>
      </c>
      <c r="G497" s="3">
        <f>G496+IFERROR(E497,0)-IFERROR(F497,0)</f>
        <v/>
      </c>
    </row>
    <row r="498">
      <c r="A498" s="2" t="n">
        <v>46162</v>
      </c>
      <c r="B498" t="inlineStr">
        <is>
          <t>Fornecedor</t>
        </is>
      </c>
      <c r="C498" t="inlineStr">
        <is>
          <t>Mercearia</t>
        </is>
      </c>
      <c r="D498" t="inlineStr">
        <is>
          <t>Atacado mercearia</t>
        </is>
      </c>
      <c r="E498" s="3" t="n"/>
      <c r="F498" s="3" t="n">
        <v>2130.2</v>
      </c>
      <c r="G498" s="3">
        <f>G497+IFERROR(E498,0)-IFERROR(F498,0)</f>
        <v/>
      </c>
    </row>
    <row r="499">
      <c r="A499" s="2" t="n">
        <v>46162</v>
      </c>
      <c r="B499" t="inlineStr">
        <is>
          <t>Imposto</t>
        </is>
      </c>
      <c r="C499" t="inlineStr">
        <is>
          <t>DAS Simples</t>
        </is>
      </c>
      <c r="D499" t="inlineStr">
        <is>
          <t>DAS competência mai</t>
        </is>
      </c>
      <c r="E499" s="3" t="n"/>
      <c r="F499" s="3" t="n">
        <v>15510</v>
      </c>
      <c r="G499" s="3">
        <f>G498+IFERROR(E499,0)-IFERROR(F499,0)</f>
        <v/>
      </c>
    </row>
    <row r="500">
      <c r="A500" s="2" t="n">
        <v>46162</v>
      </c>
      <c r="B500" t="inlineStr">
        <is>
          <t>Receita</t>
        </is>
      </c>
      <c r="C500" t="inlineStr">
        <is>
          <t>Cartão crédito</t>
        </is>
      </c>
      <c r="D500" t="inlineStr">
        <is>
          <t>Vendas do dia (qua)</t>
        </is>
      </c>
      <c r="E500" s="3" t="n">
        <v>2737.87</v>
      </c>
      <c r="F500" s="3" t="n"/>
      <c r="G500" s="3">
        <f>G499+IFERROR(E500,0)-IFERROR(F500,0)</f>
        <v/>
      </c>
    </row>
    <row r="501">
      <c r="A501" s="2" t="n">
        <v>46162</v>
      </c>
      <c r="B501" t="inlineStr">
        <is>
          <t>Receita</t>
        </is>
      </c>
      <c r="C501" t="inlineStr">
        <is>
          <t>Cartão débito</t>
        </is>
      </c>
      <c r="D501" t="inlineStr">
        <is>
          <t>Vendas do dia (qua)</t>
        </is>
      </c>
      <c r="E501" s="3" t="n">
        <v>1338.51</v>
      </c>
      <c r="F501" s="3" t="n"/>
      <c r="G501" s="3">
        <f>G500+IFERROR(E501,0)-IFERROR(F501,0)</f>
        <v/>
      </c>
    </row>
    <row r="502">
      <c r="A502" s="2" t="n">
        <v>46162</v>
      </c>
      <c r="B502" t="inlineStr">
        <is>
          <t>Receita</t>
        </is>
      </c>
      <c r="C502" t="inlineStr">
        <is>
          <t>PIX</t>
        </is>
      </c>
      <c r="D502" t="inlineStr">
        <is>
          <t>Vendas do dia (qua)</t>
        </is>
      </c>
      <c r="E502" s="3" t="n">
        <v>1095.15</v>
      </c>
      <c r="F502" s="3" t="n"/>
      <c r="G502" s="3">
        <f>G501+IFERROR(E502,0)-IFERROR(F502,0)</f>
        <v/>
      </c>
    </row>
    <row r="503">
      <c r="A503" s="2" t="n">
        <v>46162</v>
      </c>
      <c r="B503" t="inlineStr">
        <is>
          <t>Receita</t>
        </is>
      </c>
      <c r="C503" t="inlineStr">
        <is>
          <t>Dinheiro</t>
        </is>
      </c>
      <c r="D503" t="inlineStr">
        <is>
          <t>Vendas do dia (qua)</t>
        </is>
      </c>
      <c r="E503" s="3" t="n">
        <v>304.21</v>
      </c>
      <c r="F503" s="3" t="n"/>
      <c r="G503" s="3">
        <f>G502+IFERROR(E503,0)-IFERROR(F503,0)</f>
        <v/>
      </c>
    </row>
    <row r="504">
      <c r="A504" s="2" t="n">
        <v>46163</v>
      </c>
      <c r="B504" t="inlineStr">
        <is>
          <t>Receita</t>
        </is>
      </c>
      <c r="C504" t="inlineStr">
        <is>
          <t>Cartão crédito</t>
        </is>
      </c>
      <c r="D504" t="inlineStr">
        <is>
          <t>Vendas do dia (qui)</t>
        </is>
      </c>
      <c r="E504" s="3" t="n">
        <v>3399.93</v>
      </c>
      <c r="F504" s="3" t="n"/>
      <c r="G504" s="3">
        <f>G503+IFERROR(E504,0)-IFERROR(F504,0)</f>
        <v/>
      </c>
    </row>
    <row r="505">
      <c r="A505" s="2" t="n">
        <v>46163</v>
      </c>
      <c r="B505" t="inlineStr">
        <is>
          <t>Receita</t>
        </is>
      </c>
      <c r="C505" t="inlineStr">
        <is>
          <t>Cartão débito</t>
        </is>
      </c>
      <c r="D505" t="inlineStr">
        <is>
          <t>Vendas do dia (qui)</t>
        </is>
      </c>
      <c r="E505" s="3" t="n">
        <v>1662.19</v>
      </c>
      <c r="F505" s="3" t="n"/>
      <c r="G505" s="3">
        <f>G504+IFERROR(E505,0)-IFERROR(F505,0)</f>
        <v/>
      </c>
    </row>
    <row r="506">
      <c r="A506" s="2" t="n">
        <v>46163</v>
      </c>
      <c r="B506" t="inlineStr">
        <is>
          <t>Receita</t>
        </is>
      </c>
      <c r="C506" t="inlineStr">
        <is>
          <t>PIX</t>
        </is>
      </c>
      <c r="D506" t="inlineStr">
        <is>
          <t>Vendas do dia (qui)</t>
        </is>
      </c>
      <c r="E506" s="3" t="n">
        <v>1359.97</v>
      </c>
      <c r="F506" s="3" t="n"/>
      <c r="G506" s="3">
        <f>G505+IFERROR(E506,0)-IFERROR(F506,0)</f>
        <v/>
      </c>
    </row>
    <row r="507">
      <c r="A507" s="2" t="n">
        <v>46163</v>
      </c>
      <c r="B507" t="inlineStr">
        <is>
          <t>Receita</t>
        </is>
      </c>
      <c r="C507" t="inlineStr">
        <is>
          <t>Dinheiro</t>
        </is>
      </c>
      <c r="D507" t="inlineStr">
        <is>
          <t>Vendas do dia (qui)</t>
        </is>
      </c>
      <c r="E507" s="3" t="n">
        <v>377.77</v>
      </c>
      <c r="F507" s="3" t="n"/>
      <c r="G507" s="3">
        <f>G506+IFERROR(E507,0)-IFERROR(F507,0)</f>
        <v/>
      </c>
    </row>
    <row r="508">
      <c r="A508" s="2" t="n">
        <v>46164</v>
      </c>
      <c r="B508" t="inlineStr">
        <is>
          <t>Despesa fixa</t>
        </is>
      </c>
      <c r="C508" t="inlineStr">
        <is>
          <t>Água</t>
        </is>
      </c>
      <c r="D508" t="inlineStr">
        <is>
          <t>Cagece — mai/2026</t>
        </is>
      </c>
      <c r="E508" s="3" t="n"/>
      <c r="F508" s="3" t="n">
        <v>1190</v>
      </c>
      <c r="G508" s="3">
        <f>G507+IFERROR(E508,0)-IFERROR(F508,0)</f>
        <v/>
      </c>
    </row>
    <row r="509">
      <c r="A509" s="2" t="n">
        <v>46164</v>
      </c>
      <c r="B509" t="inlineStr">
        <is>
          <t>Fornecedor</t>
        </is>
      </c>
      <c r="C509" t="inlineStr">
        <is>
          <t>Cárneas</t>
        </is>
      </c>
      <c r="D509" t="inlineStr">
        <is>
          <t>Açougue Boi Forte</t>
        </is>
      </c>
      <c r="E509" s="3" t="n"/>
      <c r="F509" s="3" t="n">
        <v>3002.77</v>
      </c>
      <c r="G509" s="3">
        <f>G508+IFERROR(E509,0)-IFERROR(F509,0)</f>
        <v/>
      </c>
    </row>
    <row r="510">
      <c r="A510" s="2" t="n">
        <v>46164</v>
      </c>
      <c r="B510" t="inlineStr">
        <is>
          <t>Fornecedor</t>
        </is>
      </c>
      <c r="C510" t="inlineStr">
        <is>
          <t>Laticínios</t>
        </is>
      </c>
      <c r="D510" t="inlineStr">
        <is>
          <t>Laticínios semana</t>
        </is>
      </c>
      <c r="E510" s="3" t="n"/>
      <c r="F510" s="3" t="n">
        <v>1194.12</v>
      </c>
      <c r="G510" s="3">
        <f>G509+IFERROR(E510,0)-IFERROR(F510,0)</f>
        <v/>
      </c>
    </row>
    <row r="511">
      <c r="A511" s="2" t="n">
        <v>46164</v>
      </c>
      <c r="B511" t="inlineStr">
        <is>
          <t>Receita</t>
        </is>
      </c>
      <c r="C511" t="inlineStr">
        <is>
          <t>Cartão crédito</t>
        </is>
      </c>
      <c r="D511" t="inlineStr">
        <is>
          <t>Vendas do dia (sex)</t>
        </is>
      </c>
      <c r="E511" s="3" t="n">
        <v>4135.76</v>
      </c>
      <c r="F511" s="3" t="n"/>
      <c r="G511" s="3">
        <f>G510+IFERROR(E511,0)-IFERROR(F511,0)</f>
        <v/>
      </c>
    </row>
    <row r="512">
      <c r="A512" s="2" t="n">
        <v>46164</v>
      </c>
      <c r="B512" t="inlineStr">
        <is>
          <t>Receita</t>
        </is>
      </c>
      <c r="C512" t="inlineStr">
        <is>
          <t>Cartão débito</t>
        </is>
      </c>
      <c r="D512" t="inlineStr">
        <is>
          <t>Vendas do dia (sex)</t>
        </is>
      </c>
      <c r="E512" s="3" t="n">
        <v>2021.93</v>
      </c>
      <c r="F512" s="3" t="n"/>
      <c r="G512" s="3">
        <f>G511+IFERROR(E512,0)-IFERROR(F512,0)</f>
        <v/>
      </c>
    </row>
    <row r="513">
      <c r="A513" s="2" t="n">
        <v>46164</v>
      </c>
      <c r="B513" t="inlineStr">
        <is>
          <t>Receita</t>
        </is>
      </c>
      <c r="C513" t="inlineStr">
        <is>
          <t>PIX</t>
        </is>
      </c>
      <c r="D513" t="inlineStr">
        <is>
          <t>Vendas do dia (sex)</t>
        </is>
      </c>
      <c r="E513" s="3" t="n">
        <v>1654.3</v>
      </c>
      <c r="F513" s="3" t="n"/>
      <c r="G513" s="3">
        <f>G512+IFERROR(E513,0)-IFERROR(F513,0)</f>
        <v/>
      </c>
    </row>
    <row r="514">
      <c r="A514" s="2" t="n">
        <v>46164</v>
      </c>
      <c r="B514" t="inlineStr">
        <is>
          <t>Receita</t>
        </is>
      </c>
      <c r="C514" t="inlineStr">
        <is>
          <t>Dinheiro</t>
        </is>
      </c>
      <c r="D514" t="inlineStr">
        <is>
          <t>Vendas do dia (sex)</t>
        </is>
      </c>
      <c r="E514" s="3" t="n">
        <v>459.53</v>
      </c>
      <c r="F514" s="3" t="n"/>
      <c r="G514" s="3">
        <f>G513+IFERROR(E514,0)-IFERROR(F514,0)</f>
        <v/>
      </c>
    </row>
    <row r="515">
      <c r="A515" s="2" t="n">
        <v>46165</v>
      </c>
      <c r="B515" t="inlineStr">
        <is>
          <t>Despesa fixa</t>
        </is>
      </c>
      <c r="C515" t="inlineStr">
        <is>
          <t>Internet + telefonia</t>
        </is>
      </c>
      <c r="D515" t="inlineStr">
        <is>
          <t>Internet + telefonia</t>
        </is>
      </c>
      <c r="E515" s="3" t="n"/>
      <c r="F515" s="3" t="n">
        <v>480</v>
      </c>
      <c r="G515" s="3">
        <f>G514+IFERROR(E515,0)-IFERROR(F515,0)</f>
        <v/>
      </c>
    </row>
    <row r="516">
      <c r="A516" s="2" t="n">
        <v>46165</v>
      </c>
      <c r="B516" t="inlineStr">
        <is>
          <t>Despesa variável</t>
        </is>
      </c>
      <c r="C516" t="inlineStr">
        <is>
          <t>Comissão</t>
        </is>
      </c>
      <c r="D516" t="inlineStr">
        <is>
          <t>Comissão garçom (sáb)</t>
        </is>
      </c>
      <c r="E516" s="3" t="n"/>
      <c r="F516" s="3" t="n">
        <v>1062.32</v>
      </c>
      <c r="G516" s="3">
        <f>G515+IFERROR(E516,0)-IFERROR(F516,0)</f>
        <v/>
      </c>
    </row>
    <row r="517">
      <c r="A517" s="2" t="n">
        <v>46165</v>
      </c>
      <c r="B517" t="inlineStr">
        <is>
          <t>Fornecedor</t>
        </is>
      </c>
      <c r="C517" t="inlineStr">
        <is>
          <t>Descartáveis</t>
        </is>
      </c>
      <c r="D517" t="inlineStr">
        <is>
          <t>Embalagens Sul</t>
        </is>
      </c>
      <c r="E517" s="3" t="n"/>
      <c r="F517" s="3" t="n">
        <v>1420</v>
      </c>
      <c r="G517" s="3">
        <f>G516+IFERROR(E517,0)-IFERROR(F517,0)</f>
        <v/>
      </c>
    </row>
    <row r="518">
      <c r="A518" s="2" t="n">
        <v>46165</v>
      </c>
      <c r="B518" t="inlineStr">
        <is>
          <t>Receita</t>
        </is>
      </c>
      <c r="C518" t="inlineStr">
        <is>
          <t>Cartão crédito</t>
        </is>
      </c>
      <c r="D518" t="inlineStr">
        <is>
          <t>Vendas do dia (sáb)</t>
        </is>
      </c>
      <c r="E518" s="3" t="n">
        <v>7158.64</v>
      </c>
      <c r="F518" s="3" t="n"/>
      <c r="G518" s="3">
        <f>G517+IFERROR(E518,0)-IFERROR(F518,0)</f>
        <v/>
      </c>
    </row>
    <row r="519">
      <c r="A519" s="2" t="n">
        <v>46165</v>
      </c>
      <c r="B519" t="inlineStr">
        <is>
          <t>Receita</t>
        </is>
      </c>
      <c r="C519" t="inlineStr">
        <is>
          <t>Cartão débito</t>
        </is>
      </c>
      <c r="D519" t="inlineStr">
        <is>
          <t>Vendas do dia (sáb)</t>
        </is>
      </c>
      <c r="E519" s="3" t="n">
        <v>3499.78</v>
      </c>
      <c r="F519" s="3" t="n"/>
      <c r="G519" s="3">
        <f>G518+IFERROR(E519,0)-IFERROR(F519,0)</f>
        <v/>
      </c>
    </row>
    <row r="520">
      <c r="A520" s="2" t="n">
        <v>46165</v>
      </c>
      <c r="B520" t="inlineStr">
        <is>
          <t>Receita</t>
        </is>
      </c>
      <c r="C520" t="inlineStr">
        <is>
          <t>PIX</t>
        </is>
      </c>
      <c r="D520" t="inlineStr">
        <is>
          <t>Vendas do dia (sáb)</t>
        </is>
      </c>
      <c r="E520" s="3" t="n">
        <v>2863.46</v>
      </c>
      <c r="F520" s="3" t="n"/>
      <c r="G520" s="3">
        <f>G519+IFERROR(E520,0)-IFERROR(F520,0)</f>
        <v/>
      </c>
    </row>
    <row r="521">
      <c r="A521" s="2" t="n">
        <v>46165</v>
      </c>
      <c r="B521" t="inlineStr">
        <is>
          <t>Receita</t>
        </is>
      </c>
      <c r="C521" t="inlineStr">
        <is>
          <t>Dinheiro</t>
        </is>
      </c>
      <c r="D521" t="inlineStr">
        <is>
          <t>Vendas do dia (sáb)</t>
        </is>
      </c>
      <c r="E521" s="3" t="n">
        <v>795.4</v>
      </c>
      <c r="F521" s="3" t="n"/>
      <c r="G521" s="3">
        <f>G520+IFERROR(E521,0)-IFERROR(F521,0)</f>
        <v/>
      </c>
    </row>
    <row r="522">
      <c r="A522" s="2" t="n">
        <v>46166</v>
      </c>
      <c r="B522" t="inlineStr">
        <is>
          <t>Despesa fixa</t>
        </is>
      </c>
      <c r="C522" t="inlineStr">
        <is>
          <t>Software</t>
        </is>
      </c>
      <c r="D522" t="inlineStr">
        <is>
          <t>PDV + ERP</t>
        </is>
      </c>
      <c r="E522" s="3" t="n"/>
      <c r="F522" s="3" t="n">
        <v>890</v>
      </c>
      <c r="G522" s="3">
        <f>G521+IFERROR(E522,0)-IFERROR(F522,0)</f>
        <v/>
      </c>
    </row>
    <row r="523">
      <c r="A523" s="2" t="n">
        <v>46166</v>
      </c>
      <c r="B523" t="inlineStr">
        <is>
          <t>Despesa variável</t>
        </is>
      </c>
      <c r="C523" t="inlineStr">
        <is>
          <t>Comissão</t>
        </is>
      </c>
      <c r="D523" t="inlineStr">
        <is>
          <t>Comissão garçom (dom)</t>
        </is>
      </c>
      <c r="E523" s="3" t="n"/>
      <c r="F523" s="3" t="n">
        <v>881.96</v>
      </c>
      <c r="G523" s="3">
        <f>G522+IFERROR(E523,0)-IFERROR(F523,0)</f>
        <v/>
      </c>
    </row>
    <row r="524">
      <c r="A524" s="2" t="n">
        <v>46166</v>
      </c>
      <c r="B524" t="inlineStr">
        <is>
          <t>Receita</t>
        </is>
      </c>
      <c r="C524" t="inlineStr">
        <is>
          <t>Cartão crédito</t>
        </is>
      </c>
      <c r="D524" t="inlineStr">
        <is>
          <t>Vendas do dia (dom)</t>
        </is>
      </c>
      <c r="E524" s="3" t="n">
        <v>7641.27</v>
      </c>
      <c r="F524" s="3" t="n"/>
      <c r="G524" s="3">
        <f>G523+IFERROR(E524,0)-IFERROR(F524,0)</f>
        <v/>
      </c>
    </row>
    <row r="525">
      <c r="A525" s="2" t="n">
        <v>46166</v>
      </c>
      <c r="B525" t="inlineStr">
        <is>
          <t>Receita</t>
        </is>
      </c>
      <c r="C525" t="inlineStr">
        <is>
          <t>Cartão débito</t>
        </is>
      </c>
      <c r="D525" t="inlineStr">
        <is>
          <t>Vendas do dia (dom)</t>
        </is>
      </c>
      <c r="E525" s="3" t="n">
        <v>3735.73</v>
      </c>
      <c r="F525" s="3" t="n"/>
      <c r="G525" s="3">
        <f>G524+IFERROR(E525,0)-IFERROR(F525,0)</f>
        <v/>
      </c>
    </row>
    <row r="526">
      <c r="A526" s="2" t="n">
        <v>46166</v>
      </c>
      <c r="B526" t="inlineStr">
        <is>
          <t>Receita</t>
        </is>
      </c>
      <c r="C526" t="inlineStr">
        <is>
          <t>PIX</t>
        </is>
      </c>
      <c r="D526" t="inlineStr">
        <is>
          <t>Vendas do dia (dom)</t>
        </is>
      </c>
      <c r="E526" s="3" t="n">
        <v>3056.51</v>
      </c>
      <c r="F526" s="3" t="n"/>
      <c r="G526" s="3">
        <f>G525+IFERROR(E526,0)-IFERROR(F526,0)</f>
        <v/>
      </c>
    </row>
    <row r="527">
      <c r="A527" s="2" t="n">
        <v>46166</v>
      </c>
      <c r="B527" t="inlineStr">
        <is>
          <t>Receita</t>
        </is>
      </c>
      <c r="C527" t="inlineStr">
        <is>
          <t>Dinheiro</t>
        </is>
      </c>
      <c r="D527" t="inlineStr">
        <is>
          <t>Vendas do dia (dom)</t>
        </is>
      </c>
      <c r="E527" s="3" t="n">
        <v>849.03</v>
      </c>
      <c r="F527" s="3" t="n"/>
      <c r="G527" s="3">
        <f>G526+IFERROR(E527,0)-IFERROR(F527,0)</f>
        <v/>
      </c>
    </row>
    <row r="528">
      <c r="A528" s="2" t="n">
        <v>46167</v>
      </c>
      <c r="B528" t="inlineStr">
        <is>
          <t>Despesa fixa</t>
        </is>
      </c>
      <c r="C528" t="inlineStr">
        <is>
          <t>Contabilidade</t>
        </is>
      </c>
      <c r="D528" t="inlineStr">
        <is>
          <t>Escritório contábil</t>
        </is>
      </c>
      <c r="E528" s="3" t="n"/>
      <c r="F528" s="3" t="n">
        <v>1450</v>
      </c>
      <c r="G528" s="3">
        <f>G527+IFERROR(E528,0)-IFERROR(F528,0)</f>
        <v/>
      </c>
    </row>
    <row r="529">
      <c r="A529" s="2" t="n">
        <v>46167</v>
      </c>
      <c r="B529" t="inlineStr">
        <is>
          <t>Fornecedor</t>
        </is>
      </c>
      <c r="C529" t="inlineStr">
        <is>
          <t>Hortifruti</t>
        </is>
      </c>
      <c r="D529" t="inlineStr">
        <is>
          <t>Feira semanal — Ceasa</t>
        </is>
      </c>
      <c r="E529" s="3" t="n"/>
      <c r="F529" s="3" t="n">
        <v>1185.69</v>
      </c>
      <c r="G529" s="3">
        <f>G528+IFERROR(E529,0)-IFERROR(F529,0)</f>
        <v/>
      </c>
    </row>
    <row r="530">
      <c r="A530" s="2" t="n">
        <v>46167</v>
      </c>
      <c r="B530" t="inlineStr">
        <is>
          <t>Fornecedor</t>
        </is>
      </c>
      <c r="C530" t="inlineStr">
        <is>
          <t>Bebidas</t>
        </is>
      </c>
      <c r="D530" t="inlineStr">
        <is>
          <t>Distribuidora Norte</t>
        </is>
      </c>
      <c r="E530" s="3" t="n"/>
      <c r="F530" s="3" t="n">
        <v>4081.83</v>
      </c>
      <c r="G530" s="3">
        <f>G529+IFERROR(E530,0)-IFERROR(F530,0)</f>
        <v/>
      </c>
    </row>
    <row r="531">
      <c r="A531" s="2" t="n">
        <v>46167</v>
      </c>
      <c r="B531" t="inlineStr">
        <is>
          <t>Receita</t>
        </is>
      </c>
      <c r="C531" t="inlineStr">
        <is>
          <t>Cartão crédito</t>
        </is>
      </c>
      <c r="D531" t="inlineStr">
        <is>
          <t>Vendas do dia (seg)</t>
        </is>
      </c>
      <c r="E531" s="3" t="n">
        <v>1932.15</v>
      </c>
      <c r="F531" s="3" t="n"/>
      <c r="G531" s="3">
        <f>G530+IFERROR(E531,0)-IFERROR(F531,0)</f>
        <v/>
      </c>
    </row>
    <row r="532">
      <c r="A532" s="2" t="n">
        <v>46167</v>
      </c>
      <c r="B532" t="inlineStr">
        <is>
          <t>Receita</t>
        </is>
      </c>
      <c r="C532" t="inlineStr">
        <is>
          <t>Cartão débito</t>
        </is>
      </c>
      <c r="D532" t="inlineStr">
        <is>
          <t>Vendas do dia (seg)</t>
        </is>
      </c>
      <c r="E532" s="3" t="n">
        <v>944.61</v>
      </c>
      <c r="F532" s="3" t="n"/>
      <c r="G532" s="3">
        <f>G531+IFERROR(E532,0)-IFERROR(F532,0)</f>
        <v/>
      </c>
    </row>
    <row r="533">
      <c r="A533" s="2" t="n">
        <v>46167</v>
      </c>
      <c r="B533" t="inlineStr">
        <is>
          <t>Receita</t>
        </is>
      </c>
      <c r="C533" t="inlineStr">
        <is>
          <t>PIX</t>
        </is>
      </c>
      <c r="D533" t="inlineStr">
        <is>
          <t>Vendas do dia (seg)</t>
        </is>
      </c>
      <c r="E533" s="3" t="n">
        <v>772.86</v>
      </c>
      <c r="F533" s="3" t="n"/>
      <c r="G533" s="3">
        <f>G532+IFERROR(E533,0)-IFERROR(F533,0)</f>
        <v/>
      </c>
    </row>
    <row r="534">
      <c r="A534" s="2" t="n">
        <v>46167</v>
      </c>
      <c r="B534" t="inlineStr">
        <is>
          <t>Receita</t>
        </is>
      </c>
      <c r="C534" t="inlineStr">
        <is>
          <t>Dinheiro</t>
        </is>
      </c>
      <c r="D534" t="inlineStr">
        <is>
          <t>Vendas do dia (seg)</t>
        </is>
      </c>
      <c r="E534" s="3" t="n">
        <v>214.68</v>
      </c>
      <c r="F534" s="3" t="n"/>
      <c r="G534" s="3">
        <f>G533+IFERROR(E534,0)-IFERROR(F534,0)</f>
        <v/>
      </c>
    </row>
    <row r="535">
      <c r="A535" s="2" t="n">
        <v>46168</v>
      </c>
      <c r="B535" t="inlineStr">
        <is>
          <t>Despesa fixa</t>
        </is>
      </c>
      <c r="C535" t="inlineStr">
        <is>
          <t>Outras operacionais</t>
        </is>
      </c>
      <c r="D535" t="inlineStr">
        <is>
          <t>Despesas operacionais diversas</t>
        </is>
      </c>
      <c r="E535" s="3" t="n"/>
      <c r="F535" s="3" t="n">
        <v>4249.07</v>
      </c>
      <c r="G535" s="3">
        <f>G534+IFERROR(E535,0)-IFERROR(F535,0)</f>
        <v/>
      </c>
    </row>
    <row r="536">
      <c r="A536" s="2" t="n">
        <v>46168</v>
      </c>
      <c r="B536" t="inlineStr">
        <is>
          <t>Fornecedor</t>
        </is>
      </c>
      <c r="C536" t="inlineStr">
        <is>
          <t>Cárneas</t>
        </is>
      </c>
      <c r="D536" t="inlineStr">
        <is>
          <t>Açougue Boi Forte</t>
        </is>
      </c>
      <c r="E536" s="3" t="n"/>
      <c r="F536" s="3" t="n">
        <v>2505.85</v>
      </c>
      <c r="G536" s="3">
        <f>G535+IFERROR(E536,0)-IFERROR(F536,0)</f>
        <v/>
      </c>
    </row>
    <row r="537">
      <c r="A537" s="2" t="n">
        <v>46168</v>
      </c>
      <c r="B537" t="inlineStr">
        <is>
          <t>Receita</t>
        </is>
      </c>
      <c r="C537" t="inlineStr">
        <is>
          <t>Cartão crédito</t>
        </is>
      </c>
      <c r="D537" t="inlineStr">
        <is>
          <t>Vendas do dia (ter)</t>
        </is>
      </c>
      <c r="E537" s="3" t="n">
        <v>2898.97</v>
      </c>
      <c r="F537" s="3" t="n"/>
      <c r="G537" s="3">
        <f>G536+IFERROR(E537,0)-IFERROR(F537,0)</f>
        <v/>
      </c>
    </row>
    <row r="538">
      <c r="A538" s="2" t="n">
        <v>46168</v>
      </c>
      <c r="B538" t="inlineStr">
        <is>
          <t>Receita</t>
        </is>
      </c>
      <c r="C538" t="inlineStr">
        <is>
          <t>Cartão débito</t>
        </is>
      </c>
      <c r="D538" t="inlineStr">
        <is>
          <t>Vendas do dia (ter)</t>
        </is>
      </c>
      <c r="E538" s="3" t="n">
        <v>1417.27</v>
      </c>
      <c r="F538" s="3" t="n"/>
      <c r="G538" s="3">
        <f>G537+IFERROR(E538,0)-IFERROR(F538,0)</f>
        <v/>
      </c>
    </row>
    <row r="539">
      <c r="A539" s="2" t="n">
        <v>46168</v>
      </c>
      <c r="B539" t="inlineStr">
        <is>
          <t>Receita</t>
        </is>
      </c>
      <c r="C539" t="inlineStr">
        <is>
          <t>PIX</t>
        </is>
      </c>
      <c r="D539" t="inlineStr">
        <is>
          <t>Vendas do dia (ter)</t>
        </is>
      </c>
      <c r="E539" s="3" t="n">
        <v>1159.59</v>
      </c>
      <c r="F539" s="3" t="n"/>
      <c r="G539" s="3">
        <f>G538+IFERROR(E539,0)-IFERROR(F539,0)</f>
        <v/>
      </c>
    </row>
    <row r="540">
      <c r="A540" s="2" t="n">
        <v>46168</v>
      </c>
      <c r="B540" t="inlineStr">
        <is>
          <t>Receita</t>
        </is>
      </c>
      <c r="C540" t="inlineStr">
        <is>
          <t>Dinheiro</t>
        </is>
      </c>
      <c r="D540" t="inlineStr">
        <is>
          <t>Vendas do dia (ter)</t>
        </is>
      </c>
      <c r="E540" s="3" t="n">
        <v>322.11</v>
      </c>
      <c r="F540" s="3" t="n"/>
      <c r="G540" s="3">
        <f>G539+IFERROR(E540,0)-IFERROR(F540,0)</f>
        <v/>
      </c>
    </row>
    <row r="541">
      <c r="A541" s="2" t="n">
        <v>46168</v>
      </c>
      <c r="B541" t="inlineStr">
        <is>
          <t>Receita</t>
        </is>
      </c>
      <c r="C541" t="inlineStr">
        <is>
          <t>iFood</t>
        </is>
      </c>
      <c r="D541" t="inlineStr">
        <is>
          <t>Repasse semanal iFood</t>
        </is>
      </c>
      <c r="E541" s="3" t="n">
        <v>7221.56</v>
      </c>
      <c r="F541" s="3" t="n"/>
      <c r="G541" s="3">
        <f>G540+IFERROR(E541,0)-IFERROR(F541,0)</f>
        <v/>
      </c>
    </row>
    <row r="542">
      <c r="A542" s="2" t="n">
        <v>46169</v>
      </c>
      <c r="B542" t="inlineStr">
        <is>
          <t>Fornecedor</t>
        </is>
      </c>
      <c r="C542" t="inlineStr">
        <is>
          <t>Hortifruti</t>
        </is>
      </c>
      <c r="D542" t="inlineStr">
        <is>
          <t>Reposição hortifruti</t>
        </is>
      </c>
      <c r="E542" s="3" t="n"/>
      <c r="F542" s="3" t="n">
        <v>1074.21</v>
      </c>
      <c r="G542" s="3">
        <f>G541+IFERROR(E542,0)-IFERROR(F542,0)</f>
        <v/>
      </c>
    </row>
    <row r="543">
      <c r="A543" s="2" t="n">
        <v>46169</v>
      </c>
      <c r="B543" t="inlineStr">
        <is>
          <t>Fornecedor</t>
        </is>
      </c>
      <c r="C543" t="inlineStr">
        <is>
          <t>Mercearia</t>
        </is>
      </c>
      <c r="D543" t="inlineStr">
        <is>
          <t>Atacado mercearia</t>
        </is>
      </c>
      <c r="E543" s="3" t="n"/>
      <c r="F543" s="3" t="n">
        <v>1830.35</v>
      </c>
      <c r="G543" s="3">
        <f>G542+IFERROR(E543,0)-IFERROR(F543,0)</f>
        <v/>
      </c>
    </row>
    <row r="544">
      <c r="A544" s="2" t="n">
        <v>46169</v>
      </c>
      <c r="B544" t="inlineStr">
        <is>
          <t>Receita</t>
        </is>
      </c>
      <c r="C544" t="inlineStr">
        <is>
          <t>Cartão crédito</t>
        </is>
      </c>
      <c r="D544" t="inlineStr">
        <is>
          <t>Vendas do dia (qua)</t>
        </is>
      </c>
      <c r="E544" s="3" t="n">
        <v>2035.33</v>
      </c>
      <c r="F544" s="3" t="n"/>
      <c r="G544" s="3">
        <f>G543+IFERROR(E544,0)-IFERROR(F544,0)</f>
        <v/>
      </c>
    </row>
    <row r="545">
      <c r="A545" s="2" t="n">
        <v>46169</v>
      </c>
      <c r="B545" t="inlineStr">
        <is>
          <t>Receita</t>
        </is>
      </c>
      <c r="C545" t="inlineStr">
        <is>
          <t>Cartão débito</t>
        </is>
      </c>
      <c r="D545" t="inlineStr">
        <is>
          <t>Vendas do dia (qua)</t>
        </is>
      </c>
      <c r="E545" s="3" t="n">
        <v>995.05</v>
      </c>
      <c r="F545" s="3" t="n"/>
      <c r="G545" s="3">
        <f>G544+IFERROR(E545,0)-IFERROR(F545,0)</f>
        <v/>
      </c>
    </row>
    <row r="546">
      <c r="A546" s="2" t="n">
        <v>46169</v>
      </c>
      <c r="B546" t="inlineStr">
        <is>
          <t>Receita</t>
        </is>
      </c>
      <c r="C546" t="inlineStr">
        <is>
          <t>PIX</t>
        </is>
      </c>
      <c r="D546" t="inlineStr">
        <is>
          <t>Vendas do dia (qua)</t>
        </is>
      </c>
      <c r="E546" s="3" t="n">
        <v>814.13</v>
      </c>
      <c r="F546" s="3" t="n"/>
      <c r="G546" s="3">
        <f>G545+IFERROR(E546,0)-IFERROR(F546,0)</f>
        <v/>
      </c>
    </row>
    <row r="547">
      <c r="A547" s="2" t="n">
        <v>46169</v>
      </c>
      <c r="B547" t="inlineStr">
        <is>
          <t>Receita</t>
        </is>
      </c>
      <c r="C547" t="inlineStr">
        <is>
          <t>Dinheiro</t>
        </is>
      </c>
      <c r="D547" t="inlineStr">
        <is>
          <t>Vendas do dia (qua)</t>
        </is>
      </c>
      <c r="E547" s="3" t="n">
        <v>226.15</v>
      </c>
      <c r="F547" s="3" t="n"/>
      <c r="G547" s="3">
        <f>G546+IFERROR(E547,0)-IFERROR(F547,0)</f>
        <v/>
      </c>
    </row>
    <row r="548">
      <c r="A548" s="2" t="n">
        <v>46170</v>
      </c>
      <c r="B548" t="inlineStr">
        <is>
          <t>Receita</t>
        </is>
      </c>
      <c r="C548" t="inlineStr">
        <is>
          <t>Cartão crédito</t>
        </is>
      </c>
      <c r="D548" t="inlineStr">
        <is>
          <t>Vendas do dia (qui)</t>
        </is>
      </c>
      <c r="E548" s="3" t="n">
        <v>3735.81</v>
      </c>
      <c r="F548" s="3" t="n"/>
      <c r="G548" s="3">
        <f>G547+IFERROR(E548,0)-IFERROR(F548,0)</f>
        <v/>
      </c>
    </row>
    <row r="549">
      <c r="A549" s="2" t="n">
        <v>46170</v>
      </c>
      <c r="B549" t="inlineStr">
        <is>
          <t>Receita</t>
        </is>
      </c>
      <c r="C549" t="inlineStr">
        <is>
          <t>Cartão débito</t>
        </is>
      </c>
      <c r="D549" t="inlineStr">
        <is>
          <t>Vendas do dia (qui)</t>
        </is>
      </c>
      <c r="E549" s="3" t="n">
        <v>1826.4</v>
      </c>
      <c r="F549" s="3" t="n"/>
      <c r="G549" s="3">
        <f>G548+IFERROR(E549,0)-IFERROR(F549,0)</f>
        <v/>
      </c>
    </row>
    <row r="550">
      <c r="A550" s="2" t="n">
        <v>46170</v>
      </c>
      <c r="B550" t="inlineStr">
        <is>
          <t>Receita</t>
        </is>
      </c>
      <c r="C550" t="inlineStr">
        <is>
          <t>PIX</t>
        </is>
      </c>
      <c r="D550" t="inlineStr">
        <is>
          <t>Vendas do dia (qui)</t>
        </is>
      </c>
      <c r="E550" s="3" t="n">
        <v>1494.32</v>
      </c>
      <c r="F550" s="3" t="n"/>
      <c r="G550" s="3">
        <f>G549+IFERROR(E550,0)-IFERROR(F550,0)</f>
        <v/>
      </c>
    </row>
    <row r="551">
      <c r="A551" s="2" t="n">
        <v>46170</v>
      </c>
      <c r="B551" t="inlineStr">
        <is>
          <t>Receita</t>
        </is>
      </c>
      <c r="C551" t="inlineStr">
        <is>
          <t>Dinheiro</t>
        </is>
      </c>
      <c r="D551" t="inlineStr">
        <is>
          <t>Vendas do dia (qui)</t>
        </is>
      </c>
      <c r="E551" s="3" t="n">
        <v>415.09</v>
      </c>
      <c r="F551" s="3" t="n"/>
      <c r="G551" s="3">
        <f>G550+IFERROR(E551,0)-IFERROR(F551,0)</f>
        <v/>
      </c>
    </row>
    <row r="552">
      <c r="A552" s="2" t="n">
        <v>46171</v>
      </c>
      <c r="B552" t="inlineStr">
        <is>
          <t>Fornecedor</t>
        </is>
      </c>
      <c r="C552" t="inlineStr">
        <is>
          <t>Cárneas</t>
        </is>
      </c>
      <c r="D552" t="inlineStr">
        <is>
          <t>Açougue Boi Forte</t>
        </is>
      </c>
      <c r="E552" s="3" t="n"/>
      <c r="F552" s="3" t="n">
        <v>2885.25</v>
      </c>
      <c r="G552" s="3">
        <f>G551+IFERROR(E552,0)-IFERROR(F552,0)</f>
        <v/>
      </c>
    </row>
    <row r="553">
      <c r="A553" s="2" t="n">
        <v>46171</v>
      </c>
      <c r="B553" t="inlineStr">
        <is>
          <t>Fornecedor</t>
        </is>
      </c>
      <c r="C553" t="inlineStr">
        <is>
          <t>Laticínios</t>
        </is>
      </c>
      <c r="D553" t="inlineStr">
        <is>
          <t>Laticínios semana</t>
        </is>
      </c>
      <c r="E553" s="3" t="n"/>
      <c r="F553" s="3" t="n">
        <v>906.08</v>
      </c>
      <c r="G553" s="3">
        <f>G552+IFERROR(E553,0)-IFERROR(F553,0)</f>
        <v/>
      </c>
    </row>
    <row r="554">
      <c r="A554" s="2" t="n">
        <v>46171</v>
      </c>
      <c r="B554" t="inlineStr">
        <is>
          <t>Receita</t>
        </is>
      </c>
      <c r="C554" t="inlineStr">
        <is>
          <t>Cartão crédito</t>
        </is>
      </c>
      <c r="D554" t="inlineStr">
        <is>
          <t>Vendas do dia (sex)</t>
        </is>
      </c>
      <c r="E554" s="3" t="n">
        <v>4970.31</v>
      </c>
      <c r="F554" s="3" t="n"/>
      <c r="G554" s="3">
        <f>G553+IFERROR(E554,0)-IFERROR(F554,0)</f>
        <v/>
      </c>
    </row>
    <row r="555">
      <c r="A555" s="2" t="n">
        <v>46171</v>
      </c>
      <c r="B555" t="inlineStr">
        <is>
          <t>Receita</t>
        </is>
      </c>
      <c r="C555" t="inlineStr">
        <is>
          <t>Cartão débito</t>
        </is>
      </c>
      <c r="D555" t="inlineStr">
        <is>
          <t>Vendas do dia (sex)</t>
        </is>
      </c>
      <c r="E555" s="3" t="n">
        <v>2429.93</v>
      </c>
      <c r="F555" s="3" t="n"/>
      <c r="G555" s="3">
        <f>G554+IFERROR(E555,0)-IFERROR(F555,0)</f>
        <v/>
      </c>
    </row>
    <row r="556">
      <c r="A556" s="2" t="n">
        <v>46171</v>
      </c>
      <c r="B556" t="inlineStr">
        <is>
          <t>Receita</t>
        </is>
      </c>
      <c r="C556" t="inlineStr">
        <is>
          <t>PIX</t>
        </is>
      </c>
      <c r="D556" t="inlineStr">
        <is>
          <t>Vendas do dia (sex)</t>
        </is>
      </c>
      <c r="E556" s="3" t="n">
        <v>1988.12</v>
      </c>
      <c r="F556" s="3" t="n"/>
      <c r="G556" s="3">
        <f>G555+IFERROR(E556,0)-IFERROR(F556,0)</f>
        <v/>
      </c>
    </row>
    <row r="557">
      <c r="A557" s="2" t="n">
        <v>46171</v>
      </c>
      <c r="B557" t="inlineStr">
        <is>
          <t>Receita</t>
        </is>
      </c>
      <c r="C557" t="inlineStr">
        <is>
          <t>Dinheiro</t>
        </is>
      </c>
      <c r="D557" t="inlineStr">
        <is>
          <t>Vendas do dia (sex)</t>
        </is>
      </c>
      <c r="E557" s="3" t="n">
        <v>552.26</v>
      </c>
      <c r="F557" s="3" t="n"/>
      <c r="G557" s="3">
        <f>G556+IFERROR(E557,0)-IFERROR(F557,0)</f>
        <v/>
      </c>
    </row>
    <row r="558">
      <c r="A558" s="2" t="n">
        <v>46172</v>
      </c>
      <c r="B558" t="inlineStr">
        <is>
          <t>Despesa fixa</t>
        </is>
      </c>
      <c r="C558" t="inlineStr">
        <is>
          <t>Folha</t>
        </is>
      </c>
      <c r="D558" t="inlineStr">
        <is>
          <t>Folha 2ª quinzena</t>
        </is>
      </c>
      <c r="E558" s="3" t="n"/>
      <c r="F558" s="3" t="n">
        <v>26460</v>
      </c>
      <c r="G558" s="3">
        <f>G557+IFERROR(E558,0)-IFERROR(F558,0)</f>
        <v/>
      </c>
    </row>
    <row r="559">
      <c r="A559" s="2" t="n">
        <v>46172</v>
      </c>
      <c r="B559" t="inlineStr">
        <is>
          <t>Despesa variável</t>
        </is>
      </c>
      <c r="C559" t="inlineStr">
        <is>
          <t>Comissão</t>
        </is>
      </c>
      <c r="D559" t="inlineStr">
        <is>
          <t>Comissão garçom (sáb)</t>
        </is>
      </c>
      <c r="E559" s="3" t="n"/>
      <c r="F559" s="3" t="n">
        <v>1291.6</v>
      </c>
      <c r="G559" s="3">
        <f>G558+IFERROR(E559,0)-IFERROR(F559,0)</f>
        <v/>
      </c>
    </row>
    <row r="560">
      <c r="A560" s="2" t="n">
        <v>46172</v>
      </c>
      <c r="B560" t="inlineStr">
        <is>
          <t>Receita</t>
        </is>
      </c>
      <c r="C560" t="inlineStr">
        <is>
          <t>Cartão crédito</t>
        </is>
      </c>
      <c r="D560" t="inlineStr">
        <is>
          <t>Vendas do dia (sáb)</t>
        </is>
      </c>
      <c r="E560" s="3" t="n">
        <v>7508.18</v>
      </c>
      <c r="F560" s="3" t="n"/>
      <c r="G560" s="3">
        <f>G559+IFERROR(E560,0)-IFERROR(F560,0)</f>
        <v/>
      </c>
    </row>
    <row r="561">
      <c r="A561" s="2" t="n">
        <v>46172</v>
      </c>
      <c r="B561" t="inlineStr">
        <is>
          <t>Receita</t>
        </is>
      </c>
      <c r="C561" t="inlineStr">
        <is>
          <t>Cartão débito</t>
        </is>
      </c>
      <c r="D561" t="inlineStr">
        <is>
          <t>Vendas do dia (sáb)</t>
        </is>
      </c>
      <c r="E561" s="3" t="n">
        <v>3670.67</v>
      </c>
      <c r="F561" s="3" t="n"/>
      <c r="G561" s="3">
        <f>G560+IFERROR(E561,0)-IFERROR(F561,0)</f>
        <v/>
      </c>
    </row>
    <row r="562">
      <c r="A562" s="2" t="n">
        <v>46172</v>
      </c>
      <c r="B562" t="inlineStr">
        <is>
          <t>Receita</t>
        </is>
      </c>
      <c r="C562" t="inlineStr">
        <is>
          <t>PIX</t>
        </is>
      </c>
      <c r="D562" t="inlineStr">
        <is>
          <t>Vendas do dia (sáb)</t>
        </is>
      </c>
      <c r="E562" s="3" t="n">
        <v>3003.27</v>
      </c>
      <c r="F562" s="3" t="n"/>
      <c r="G562" s="3">
        <f>G561+IFERROR(E562,0)-IFERROR(F562,0)</f>
        <v/>
      </c>
    </row>
    <row r="563">
      <c r="A563" s="2" t="n">
        <v>46172</v>
      </c>
      <c r="B563" t="inlineStr">
        <is>
          <t>Receita</t>
        </is>
      </c>
      <c r="C563" t="inlineStr">
        <is>
          <t>Dinheiro</t>
        </is>
      </c>
      <c r="D563" t="inlineStr">
        <is>
          <t>Vendas do dia (sáb)</t>
        </is>
      </c>
      <c r="E563" s="3" t="n">
        <v>834.24</v>
      </c>
      <c r="F563" s="3" t="n"/>
      <c r="G563" s="3">
        <f>G562+IFERROR(E563,0)-IFERROR(F563,0)</f>
        <v/>
      </c>
    </row>
    <row r="564">
      <c r="A564" s="2" t="n">
        <v>46173</v>
      </c>
      <c r="B564" t="inlineStr">
        <is>
          <t>Despesa variável</t>
        </is>
      </c>
      <c r="C564" t="inlineStr">
        <is>
          <t>Comissão</t>
        </is>
      </c>
      <c r="D564" t="inlineStr">
        <is>
          <t>Comissão garçom (dom)</t>
        </is>
      </c>
      <c r="E564" s="3" t="n"/>
      <c r="F564" s="3" t="n">
        <v>926.1799999999999</v>
      </c>
      <c r="G564" s="3">
        <f>G563+IFERROR(E564,0)-IFERROR(F564,0)</f>
        <v/>
      </c>
    </row>
    <row r="565">
      <c r="A565" s="2" t="n">
        <v>46173</v>
      </c>
      <c r="B565" t="inlineStr">
        <is>
          <t>Receita</t>
        </is>
      </c>
      <c r="C565" t="inlineStr">
        <is>
          <t>Cartão crédito</t>
        </is>
      </c>
      <c r="D565" t="inlineStr">
        <is>
          <t>Vendas do dia (dom)</t>
        </is>
      </c>
      <c r="E565" s="3" t="n">
        <v>6000.36</v>
      </c>
      <c r="F565" s="3" t="n"/>
      <c r="G565" s="3">
        <f>G564+IFERROR(E565,0)-IFERROR(F565,0)</f>
        <v/>
      </c>
    </row>
    <row r="566">
      <c r="A566" s="2" t="n">
        <v>46173</v>
      </c>
      <c r="B566" t="inlineStr">
        <is>
          <t>Receita</t>
        </is>
      </c>
      <c r="C566" t="inlineStr">
        <is>
          <t>Cartão débito</t>
        </is>
      </c>
      <c r="D566" t="inlineStr">
        <is>
          <t>Vendas do dia (dom)</t>
        </is>
      </c>
      <c r="E566" s="3" t="n">
        <v>2933.51</v>
      </c>
      <c r="F566" s="3" t="n"/>
      <c r="G566" s="3">
        <f>G565+IFERROR(E566,0)-IFERROR(F566,0)</f>
        <v/>
      </c>
    </row>
    <row r="567">
      <c r="A567" s="2" t="n">
        <v>46173</v>
      </c>
      <c r="B567" t="inlineStr">
        <is>
          <t>Receita</t>
        </is>
      </c>
      <c r="C567" t="inlineStr">
        <is>
          <t>PIX</t>
        </is>
      </c>
      <c r="D567" t="inlineStr">
        <is>
          <t>Vendas do dia (dom)</t>
        </is>
      </c>
      <c r="E567" s="3" t="n">
        <v>2400.14</v>
      </c>
      <c r="F567" s="3" t="n"/>
      <c r="G567" s="3">
        <f>G566+IFERROR(E567,0)-IFERROR(F567,0)</f>
        <v/>
      </c>
    </row>
    <row r="568">
      <c r="A568" s="2" t="n">
        <v>46173</v>
      </c>
      <c r="B568" t="inlineStr">
        <is>
          <t>Receita</t>
        </is>
      </c>
      <c r="C568" t="inlineStr">
        <is>
          <t>Dinheiro</t>
        </is>
      </c>
      <c r="D568" t="inlineStr">
        <is>
          <t>Vendas do dia (dom)</t>
        </is>
      </c>
      <c r="E568" s="3" t="n">
        <v>666.71</v>
      </c>
      <c r="F568" s="3" t="n"/>
      <c r="G568" s="3">
        <f>G567+IFERROR(E568,0)-IFERROR(F568,0)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Mês</t>
        </is>
      </c>
      <c r="B1" s="1" t="inlineStr">
        <is>
          <t>Receita Bruta R$</t>
        </is>
      </c>
      <c r="C1" s="1" t="inlineStr">
        <is>
          <t>Total Despesas R$</t>
        </is>
      </c>
      <c r="D1" s="1" t="inlineStr">
        <is>
          <t>Saldo Mensal R$</t>
        </is>
      </c>
    </row>
    <row r="2">
      <c r="A2" t="inlineStr">
        <is>
          <t>Março/2026</t>
        </is>
      </c>
      <c r="B2" s="3">
        <f>SUMIFS('Fluxo Diário'!E2:E568,'Fluxo Diário'!A2:A568,"&gt;="&amp;DATE(2026,3,1),'Fluxo Diário'!A2:A568,"&lt;="&amp;DATE(2026,3,31))</f>
        <v/>
      </c>
      <c r="C2" s="3">
        <f>SUMIFS('Fluxo Diário'!F2:F568,'Fluxo Diário'!A2:A568,"&gt;="&amp;DATE(2026,3,1),'Fluxo Diário'!A2:A568,"&lt;="&amp;DATE(2026,3,31))</f>
        <v/>
      </c>
      <c r="D2" s="3">
        <f>B2-C2</f>
        <v/>
      </c>
    </row>
    <row r="3">
      <c r="A3" t="inlineStr">
        <is>
          <t>Abril/2026</t>
        </is>
      </c>
      <c r="B3" s="3">
        <f>SUMIFS('Fluxo Diário'!E2:E568,'Fluxo Diário'!A2:A568,"&gt;="&amp;DATE(2026,4,1),'Fluxo Diário'!A2:A568,"&lt;="&amp;DATE(2026,4,30))</f>
        <v/>
      </c>
      <c r="C3" s="3">
        <f>SUMIFS('Fluxo Diário'!F2:F568,'Fluxo Diário'!A2:A568,"&gt;="&amp;DATE(2026,4,1),'Fluxo Diário'!A2:A568,"&lt;="&amp;DATE(2026,4,30))</f>
        <v/>
      </c>
      <c r="D3" s="3">
        <f>B3-C3</f>
        <v/>
      </c>
    </row>
    <row r="4">
      <c r="A4" t="inlineStr">
        <is>
          <t>Maio/2026</t>
        </is>
      </c>
      <c r="B4" s="3">
        <f>SUMIFS('Fluxo Diário'!E2:E568,'Fluxo Diário'!A2:A568,"&gt;="&amp;DATE(2026,5,1),'Fluxo Diário'!A2:A568,"&lt;="&amp;DATE(2026,5,31))</f>
        <v/>
      </c>
      <c r="C4" s="3">
        <f>SUMIFS('Fluxo Diário'!F2:F568,'Fluxo Diário'!A2:A568,"&gt;="&amp;DATE(2026,5,1),'Fluxo Diário'!A2:A568,"&lt;="&amp;DATE(2026,5,31))</f>
        <v/>
      </c>
      <c r="D4" s="3">
        <f>B4-C4</f>
        <v/>
      </c>
    </row>
    <row r="5">
      <c r="A5" s="4" t="inlineStr">
        <is>
          <t>TOTAL 3M</t>
        </is>
      </c>
      <c r="B5" s="5">
        <f>SUM(B2:B4)</f>
        <v/>
      </c>
      <c r="C5" s="5">
        <f>SUM(C2:C4)</f>
        <v/>
      </c>
      <c r="D5" s="5">
        <f>SUM(D2:D4)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2026-06-30T19:39:56Z</dcterms:created>
  <dcterms:modified xmlns:dcterms="http://purl.org/dc/terms/" xmlns:xsi="http://www.w3.org/2001/XMLSchema-instance" xsi:type="dcterms:W3CDTF">2026-06-30T19:39:56Z</dcterms:modified>
</cp:coreProperties>
</file>