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Cascata G4" sheetId="1" state="visible" r:id="rId1"/>
    <sheet xmlns:r="http://schemas.openxmlformats.org/officeDocument/2006/relationships"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R$&quot; * #,##0.00_-;[Red]-&quot;R$&quot; * #,##0.00_-;_-&quot;R$&quot; * &quot;-&quot;??_-;_-@_-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0" fillId="0" borderId="0" applyAlignment="1" pivotButton="0" quotePrefix="0" xfId="0">
      <alignment indent="2"/>
    </xf>
    <xf numFmtId="0" fontId="1" fillId="5" borderId="0" pivotButton="0" quotePrefix="0" xfId="0"/>
    <xf numFmtId="164" fontId="1" fillId="5" borderId="0" pivotButton="0" quotePrefix="0" xfId="0"/>
    <xf numFmtId="165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Conta</t>
        </is>
      </c>
      <c r="C1" s="1" t="inlineStr">
        <is>
          <t>Mar/2026</t>
        </is>
      </c>
      <c r="D1" s="1" t="inlineStr">
        <is>
          <t>Abr/2026</t>
        </is>
      </c>
      <c r="E1" s="1" t="inlineStr">
        <is>
          <t>Mai/2026</t>
        </is>
      </c>
      <c r="F1" s="1" t="inlineStr">
        <is>
          <t>Média 3M</t>
        </is>
      </c>
      <c r="G1" s="1" t="inlineStr">
        <is>
          <t>% vertical</t>
        </is>
      </c>
    </row>
    <row r="2">
      <c r="A2" s="2" t="inlineStr">
        <is>
          <t>1</t>
        </is>
      </c>
      <c r="B2" s="2" t="inlineStr">
        <is>
          <t>(=) Receita Bruta</t>
        </is>
      </c>
      <c r="C2" s="3" t="n">
        <v>261840</v>
      </c>
      <c r="D2" s="3" t="n">
        <v>288420</v>
      </c>
      <c r="E2" s="3" t="n">
        <v>273180</v>
      </c>
      <c r="F2" s="3">
        <f>AVERAGE(C2:E2)</f>
        <v/>
      </c>
      <c r="G2" s="4">
        <f>IFERROR(F2/$F$2,0)</f>
        <v/>
      </c>
    </row>
    <row r="3">
      <c r="A3" t="inlineStr">
        <is>
          <t>2</t>
        </is>
      </c>
      <c r="B3" t="inlineStr">
        <is>
          <t>(−) Deduções (impostos sobre venda + descontos)</t>
        </is>
      </c>
      <c r="C3" s="5" t="n">
        <v>-15710</v>
      </c>
      <c r="D3" s="5" t="n">
        <v>-17305</v>
      </c>
      <c r="E3" s="5" t="n">
        <v>-16391</v>
      </c>
      <c r="F3" s="5">
        <f>AVERAGE(C3:E3)</f>
        <v/>
      </c>
      <c r="G3" s="6">
        <f>IFERROR(F3/$F$2,0)</f>
        <v/>
      </c>
    </row>
    <row r="4">
      <c r="A4" s="7" t="inlineStr">
        <is>
          <t>3</t>
        </is>
      </c>
      <c r="B4" s="7" t="inlineStr">
        <is>
          <t>(=) Receita Líquida</t>
        </is>
      </c>
      <c r="C4" s="8">
        <f>C2+C3</f>
        <v/>
      </c>
      <c r="D4" s="8">
        <f>D2+D3</f>
        <v/>
      </c>
      <c r="E4" s="8">
        <f>E2+E3</f>
        <v/>
      </c>
      <c r="F4" s="8">
        <f>AVERAGE(C4:E4)</f>
        <v/>
      </c>
      <c r="G4" s="9">
        <f>IFERROR(F4/$F$2,0)</f>
        <v/>
      </c>
    </row>
    <row r="5">
      <c r="A5" t="inlineStr">
        <is>
          <t>4</t>
        </is>
      </c>
      <c r="B5" t="inlineStr">
        <is>
          <t>(−) CMV (alimentos + bebidas + descartáveis)</t>
        </is>
      </c>
      <c r="C5" s="5" t="n">
        <v>-83789</v>
      </c>
      <c r="D5" s="5" t="n">
        <v>-91420</v>
      </c>
      <c r="E5" s="5" t="n">
        <v>-86840</v>
      </c>
      <c r="F5" s="5">
        <f>AVERAGE(C5:E5)</f>
        <v/>
      </c>
      <c r="G5" s="6">
        <f>IFERROR(F5/$F$2,0)</f>
        <v/>
      </c>
    </row>
    <row r="6">
      <c r="A6" s="7" t="inlineStr">
        <is>
          <t>5</t>
        </is>
      </c>
      <c r="B6" s="7" t="inlineStr">
        <is>
          <t>(=) Lucro Bruto</t>
        </is>
      </c>
      <c r="C6" s="8">
        <f>C4+C5</f>
        <v/>
      </c>
      <c r="D6" s="8">
        <f>D4+D5</f>
        <v/>
      </c>
      <c r="E6" s="8">
        <f>E4+E5</f>
        <v/>
      </c>
      <c r="F6" s="8">
        <f>AVERAGE(C6:E6)</f>
        <v/>
      </c>
      <c r="G6" s="9">
        <f>IFERROR(F6/$F$2,0)</f>
        <v/>
      </c>
    </row>
    <row r="7">
      <c r="A7" s="7" t="inlineStr">
        <is>
          <t>6</t>
        </is>
      </c>
      <c r="B7" s="7" t="inlineStr">
        <is>
          <t>(−) Despesas Variáveis</t>
        </is>
      </c>
      <c r="C7" s="8">
        <f>C8+C9+C10+C11</f>
        <v/>
      </c>
      <c r="D7" s="8">
        <f>D8+D9+D10+D11</f>
        <v/>
      </c>
      <c r="E7" s="8">
        <f>E8+E9+E10+E11</f>
        <v/>
      </c>
      <c r="F7" s="8">
        <f>AVERAGE(C7:E7)</f>
        <v/>
      </c>
      <c r="G7" s="9">
        <f>IFERROR(F7/$F$2,0)</f>
        <v/>
      </c>
    </row>
    <row r="8">
      <c r="A8" t="inlineStr">
        <is>
          <t>6.1</t>
        </is>
      </c>
      <c r="B8" s="10" t="inlineStr">
        <is>
          <t>Taxa cartão (~3% receita)</t>
        </is>
      </c>
      <c r="C8" s="5" t="n">
        <v>-7855</v>
      </c>
      <c r="D8" s="5" t="n">
        <v>-8653</v>
      </c>
      <c r="E8" s="5" t="n">
        <v>-8195</v>
      </c>
      <c r="F8" s="5">
        <f>AVERAGE(C8:E8)</f>
        <v/>
      </c>
      <c r="G8" s="6">
        <f>IFERROR(F8/$F$2,0)</f>
        <v/>
      </c>
    </row>
    <row r="9">
      <c r="A9" t="inlineStr">
        <is>
          <t>6.2</t>
        </is>
      </c>
      <c r="B9" s="10" t="inlineStr">
        <is>
          <t>Comissão garçom (10% receita salão)</t>
        </is>
      </c>
      <c r="C9" s="5" t="n">
        <v>-10470</v>
      </c>
      <c r="D9" s="5" t="n">
        <v>-11537</v>
      </c>
      <c r="E9" s="5" t="n">
        <v>-10927</v>
      </c>
      <c r="F9" s="5">
        <f>AVERAGE(C9:E9)</f>
        <v/>
      </c>
      <c r="G9" s="6">
        <f>IFERROR(F9/$F$2,0)</f>
        <v/>
      </c>
    </row>
    <row r="10">
      <c r="A10" t="inlineStr">
        <is>
          <t>6.3</t>
        </is>
      </c>
      <c r="B10" s="10" t="inlineStr">
        <is>
          <t>Taxa iFood/delivery</t>
        </is>
      </c>
      <c r="C10" s="5" t="n">
        <v>-2620</v>
      </c>
      <c r="D10" s="5" t="n">
        <v>-2880</v>
      </c>
      <c r="E10" s="5" t="n">
        <v>-2730</v>
      </c>
      <c r="F10" s="5">
        <f>AVERAGE(C10:E10)</f>
        <v/>
      </c>
      <c r="G10" s="6">
        <f>IFERROR(F10/$F$2,0)</f>
        <v/>
      </c>
    </row>
    <row r="11">
      <c r="A11" t="inlineStr">
        <is>
          <t>6.4</t>
        </is>
      </c>
      <c r="B11" s="10" t="inlineStr">
        <is>
          <t>Marketing variável (% sobre receita)</t>
        </is>
      </c>
      <c r="C11" s="5" t="n">
        <v>-1235</v>
      </c>
      <c r="D11" s="5" t="n">
        <v>-1770</v>
      </c>
      <c r="E11" s="5" t="n">
        <v>-1658</v>
      </c>
      <c r="F11" s="5">
        <f>AVERAGE(C11:E11)</f>
        <v/>
      </c>
      <c r="G11" s="6">
        <f>IFERROR(F11/$F$2,0)</f>
        <v/>
      </c>
    </row>
    <row r="12">
      <c r="A12" s="7" t="inlineStr">
        <is>
          <t>7</t>
        </is>
      </c>
      <c r="B12" s="7" t="inlineStr">
        <is>
          <t>(=) Margem de Contribuição</t>
        </is>
      </c>
      <c r="C12" s="8">
        <f>C6+C7</f>
        <v/>
      </c>
      <c r="D12" s="8">
        <f>D6+D7</f>
        <v/>
      </c>
      <c r="E12" s="8">
        <f>E6+E7</f>
        <v/>
      </c>
      <c r="F12" s="8">
        <f>AVERAGE(C12:E12)</f>
        <v/>
      </c>
      <c r="G12" s="9">
        <f>IFERROR(F12/$F$2,0)</f>
        <v/>
      </c>
    </row>
    <row r="13">
      <c r="A13" s="7" t="inlineStr">
        <is>
          <t>8</t>
        </is>
      </c>
      <c r="B13" s="7" t="inlineStr">
        <is>
          <t>(−) Despesas Operacionais Fixas</t>
        </is>
      </c>
      <c r="C13" s="8">
        <f>C14+C15+C16+C17+C18+C19+C20+C21+C22+C23</f>
        <v/>
      </c>
      <c r="D13" s="8">
        <f>D14+D15+D16+D17+D18+D19+D20+D21+D22+D23</f>
        <v/>
      </c>
      <c r="E13" s="8">
        <f>E14+E15+E16+E17+E18+E19+E20+E21+E22+E23</f>
        <v/>
      </c>
      <c r="F13" s="8">
        <f>AVERAGE(C13:E13)</f>
        <v/>
      </c>
      <c r="G13" s="9">
        <f>IFERROR(F13/$F$2,0)</f>
        <v/>
      </c>
    </row>
    <row r="14">
      <c r="A14" t="inlineStr">
        <is>
          <t>8.1</t>
        </is>
      </c>
      <c r="B14" s="10" t="inlineStr">
        <is>
          <t>Folha (cozinha + salão + encargos)</t>
        </is>
      </c>
      <c r="C14" s="5" t="n">
        <v>-52600</v>
      </c>
      <c r="D14" s="5" t="n">
        <v>-53180</v>
      </c>
      <c r="E14" s="5" t="n">
        <v>-52840</v>
      </c>
      <c r="F14" s="5">
        <f>AVERAGE(C14:E14)</f>
        <v/>
      </c>
      <c r="G14" s="6">
        <f>IFERROR(F14/$F$2,0)</f>
        <v/>
      </c>
    </row>
    <row r="15">
      <c r="A15" t="inlineStr">
        <is>
          <t>8.2</t>
        </is>
      </c>
      <c r="B15" s="10" t="inlineStr">
        <is>
          <t>Aluguel</t>
        </is>
      </c>
      <c r="C15" s="5" t="n">
        <v>-18000</v>
      </c>
      <c r="D15" s="5" t="n">
        <v>-18000</v>
      </c>
      <c r="E15" s="5" t="n">
        <v>-18000</v>
      </c>
      <c r="F15" s="5">
        <f>AVERAGE(C15:E15)</f>
        <v/>
      </c>
      <c r="G15" s="6">
        <f>IFERROR(F15/$F$2,0)</f>
        <v/>
      </c>
    </row>
    <row r="16">
      <c r="A16" t="inlineStr">
        <is>
          <t>8.3</t>
        </is>
      </c>
      <c r="B16" s="10" t="inlineStr">
        <is>
          <t>Energia (Enel)</t>
        </is>
      </c>
      <c r="C16" s="5" t="n">
        <v>-3840</v>
      </c>
      <c r="D16" s="5" t="n">
        <v>-3920</v>
      </c>
      <c r="E16" s="5" t="n">
        <v>-3880</v>
      </c>
      <c r="F16" s="5">
        <f>AVERAGE(C16:E16)</f>
        <v/>
      </c>
      <c r="G16" s="6">
        <f>IFERROR(F16/$F$2,0)</f>
        <v/>
      </c>
    </row>
    <row r="17">
      <c r="A17" t="inlineStr">
        <is>
          <t>8.4</t>
        </is>
      </c>
      <c r="B17" s="10" t="inlineStr">
        <is>
          <t>Água (Cagece)</t>
        </is>
      </c>
      <c r="C17" s="5" t="n">
        <v>-1180</v>
      </c>
      <c r="D17" s="5" t="n">
        <v>-1220</v>
      </c>
      <c r="E17" s="5" t="n">
        <v>-1190</v>
      </c>
      <c r="F17" s="5">
        <f>AVERAGE(C17:E17)</f>
        <v/>
      </c>
      <c r="G17" s="6">
        <f>IFERROR(F17/$F$2,0)</f>
        <v/>
      </c>
    </row>
    <row r="18">
      <c r="A18" t="inlineStr">
        <is>
          <t>8.5</t>
        </is>
      </c>
      <c r="B18" s="10" t="inlineStr">
        <is>
          <t>Gás (GLP)</t>
        </is>
      </c>
      <c r="C18" s="5" t="n">
        <v>-980</v>
      </c>
      <c r="D18" s="5" t="n">
        <v>-1020</v>
      </c>
      <c r="E18" s="5" t="n">
        <v>-990</v>
      </c>
      <c r="F18" s="5">
        <f>AVERAGE(C18:E18)</f>
        <v/>
      </c>
      <c r="G18" s="6">
        <f>IFERROR(F18/$F$2,0)</f>
        <v/>
      </c>
    </row>
    <row r="19">
      <c r="A19" t="inlineStr">
        <is>
          <t>8.6</t>
        </is>
      </c>
      <c r="B19" s="10" t="inlineStr">
        <is>
          <t>Internet + telefonia</t>
        </is>
      </c>
      <c r="C19" s="5" t="n">
        <v>-480</v>
      </c>
      <c r="D19" s="5" t="n">
        <v>-480</v>
      </c>
      <c r="E19" s="5" t="n">
        <v>-480</v>
      </c>
      <c r="F19" s="5">
        <f>AVERAGE(C19:E19)</f>
        <v/>
      </c>
      <c r="G19" s="6">
        <f>IFERROR(F19/$F$2,0)</f>
        <v/>
      </c>
    </row>
    <row r="20">
      <c r="A20" t="inlineStr">
        <is>
          <t>8.7</t>
        </is>
      </c>
      <c r="B20" s="10" t="inlineStr">
        <is>
          <t>Contabilidade</t>
        </is>
      </c>
      <c r="C20" s="5" t="n">
        <v>-1450</v>
      </c>
      <c r="D20" s="5" t="n">
        <v>-1450</v>
      </c>
      <c r="E20" s="5" t="n">
        <v>-1450</v>
      </c>
      <c r="F20" s="5">
        <f>AVERAGE(C20:E20)</f>
        <v/>
      </c>
      <c r="G20" s="6">
        <f>IFERROR(F20/$F$2,0)</f>
        <v/>
      </c>
    </row>
    <row r="21">
      <c r="A21" t="inlineStr">
        <is>
          <t>8.8</t>
        </is>
      </c>
      <c r="B21" s="10" t="inlineStr">
        <is>
          <t>Software (PDV + gestão + ERP)</t>
        </is>
      </c>
      <c r="C21" s="5" t="n">
        <v>-890</v>
      </c>
      <c r="D21" s="5" t="n">
        <v>-890</v>
      </c>
      <c r="E21" s="5" t="n">
        <v>-890</v>
      </c>
      <c r="F21" s="5">
        <f>AVERAGE(C21:E21)</f>
        <v/>
      </c>
      <c r="G21" s="6">
        <f>IFERROR(F21/$F$2,0)</f>
        <v/>
      </c>
    </row>
    <row r="22">
      <c r="A22" t="inlineStr">
        <is>
          <t>8.9</t>
        </is>
      </c>
      <c r="B22" s="10" t="inlineStr">
        <is>
          <t>Pró-labore sócios (A + B)</t>
        </is>
      </c>
      <c r="C22" s="5" t="n">
        <v>-16000</v>
      </c>
      <c r="D22" s="5" t="n">
        <v>-16000</v>
      </c>
      <c r="E22" s="5" t="n">
        <v>-16000</v>
      </c>
      <c r="F22" s="5">
        <f>AVERAGE(C22:E22)</f>
        <v/>
      </c>
      <c r="G22" s="6">
        <f>IFERROR(F22/$F$2,0)</f>
        <v/>
      </c>
    </row>
    <row r="23">
      <c r="A23" t="inlineStr">
        <is>
          <t>8.10</t>
        </is>
      </c>
      <c r="B23" s="10" t="inlineStr">
        <is>
          <t>Outras despesas operacionais</t>
        </is>
      </c>
      <c r="C23" s="5" t="n">
        <v>-12470</v>
      </c>
      <c r="D23" s="5" t="n">
        <v>-12260</v>
      </c>
      <c r="E23" s="5" t="n">
        <v>-12430</v>
      </c>
      <c r="F23" s="5">
        <f>AVERAGE(C23:E23)</f>
        <v/>
      </c>
      <c r="G23" s="6">
        <f>IFERROR(F23/$F$2,0)</f>
        <v/>
      </c>
    </row>
    <row r="24">
      <c r="A24" s="7" t="inlineStr">
        <is>
          <t>9</t>
        </is>
      </c>
      <c r="B24" s="7" t="inlineStr">
        <is>
          <t>(=) EBITDA</t>
        </is>
      </c>
      <c r="C24" s="8">
        <f>C12+C13</f>
        <v/>
      </c>
      <c r="D24" s="8">
        <f>D12+D13</f>
        <v/>
      </c>
      <c r="E24" s="8">
        <f>E12+E13</f>
        <v/>
      </c>
      <c r="F24" s="8">
        <f>AVERAGE(C24:E24)</f>
        <v/>
      </c>
      <c r="G24" s="9">
        <f>IFERROR(F24/$F$2,0)</f>
        <v/>
      </c>
    </row>
    <row r="25">
      <c r="A25" t="inlineStr">
        <is>
          <t>10</t>
        </is>
      </c>
      <c r="B25" t="inlineStr">
        <is>
          <t>(−) Depreciação (equip. cozinha + mobiliário)</t>
        </is>
      </c>
      <c r="C25" s="5" t="n">
        <v>-2400</v>
      </c>
      <c r="D25" s="5" t="n">
        <v>-2400</v>
      </c>
      <c r="E25" s="5" t="n">
        <v>-2400</v>
      </c>
      <c r="F25" s="5">
        <f>AVERAGE(C25:E25)</f>
        <v/>
      </c>
      <c r="G25" s="6">
        <f>IFERROR(F25/$F$2,0)</f>
        <v/>
      </c>
    </row>
    <row r="26">
      <c r="A26" s="7" t="inlineStr">
        <is>
          <t>11</t>
        </is>
      </c>
      <c r="B26" s="7" t="inlineStr">
        <is>
          <t>(=) EBIT / Resultado Operacional</t>
        </is>
      </c>
      <c r="C26" s="8">
        <f>C24+C25</f>
        <v/>
      </c>
      <c r="D26" s="8">
        <f>D24+D25</f>
        <v/>
      </c>
      <c r="E26" s="8">
        <f>E24+E25</f>
        <v/>
      </c>
      <c r="F26" s="8">
        <f>AVERAGE(C26:E26)</f>
        <v/>
      </c>
      <c r="G26" s="9">
        <f>IFERROR(F26/$F$2,0)</f>
        <v/>
      </c>
    </row>
    <row r="27">
      <c r="A27" t="inlineStr">
        <is>
          <t>12</t>
        </is>
      </c>
      <c r="B27" t="inlineStr">
        <is>
          <t>(−) Imposto sobre lucro (no Simples já está no item 2)</t>
        </is>
      </c>
      <c r="C27" s="5" t="n">
        <v>0</v>
      </c>
      <c r="D27" s="5" t="n">
        <v>0</v>
      </c>
      <c r="E27" s="5" t="n">
        <v>0</v>
      </c>
      <c r="F27" s="5">
        <f>AVERAGE(C27:E27)</f>
        <v/>
      </c>
      <c r="G27" s="6">
        <f>IFERROR(F27/$F$2,0)</f>
        <v/>
      </c>
    </row>
    <row r="28">
      <c r="A28" s="11" t="inlineStr">
        <is>
          <t>13</t>
        </is>
      </c>
      <c r="B28" s="11" t="inlineStr">
        <is>
          <t>(=) Lucro Líquido</t>
        </is>
      </c>
      <c r="C28" s="12">
        <f>C26+C27</f>
        <v/>
      </c>
      <c r="D28" s="12">
        <f>D26+D27</f>
        <v/>
      </c>
      <c r="E28" s="12">
        <f>E26+E27</f>
        <v/>
      </c>
      <c r="F28" s="12">
        <f>AVERAGE(C28:E28)</f>
        <v/>
      </c>
      <c r="G28" s="13">
        <f>IFERROR(F28/$F$2,0)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  <col width="3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Benchmark mercado</t>
        </is>
      </c>
      <c r="D1" s="1" t="inlineStr">
        <is>
          <t>Status</t>
        </is>
      </c>
    </row>
    <row r="2">
      <c r="A2" t="inlineStr">
        <is>
          <t>Margem Bruta</t>
        </is>
      </c>
      <c r="B2" s="6">
        <f>'DRE Cascata G4'!F6/'DRE Cascata G4'!F2</f>
        <v/>
      </c>
      <c r="C2" t="inlineStr">
        <is>
          <t>60–70% (casual food)</t>
        </is>
      </c>
      <c r="D2" t="inlineStr">
        <is>
          <t>OK</t>
        </is>
      </c>
    </row>
    <row r="3">
      <c r="A3" t="inlineStr">
        <is>
          <t>Margem de Contribuição</t>
        </is>
      </c>
      <c r="B3" s="6">
        <f>'DRE Cascata G4'!F12/'DRE Cascata G4'!F2</f>
        <v/>
      </c>
      <c r="C3" t="inlineStr">
        <is>
          <t>50–60%</t>
        </is>
      </c>
      <c r="D3" t="inlineStr">
        <is>
          <t>OK</t>
        </is>
      </c>
    </row>
    <row r="4">
      <c r="A4" t="inlineStr">
        <is>
          <t>Margem EBITDA</t>
        </is>
      </c>
      <c r="B4" s="6">
        <f>'DRE Cascata G4'!F24/'DRE Cascata G4'!F2</f>
        <v/>
      </c>
      <c r="C4" t="inlineStr">
        <is>
          <t>12–18%</t>
        </is>
      </c>
      <c r="D4" t="inlineStr">
        <is>
          <t>OK</t>
        </is>
      </c>
    </row>
    <row r="5">
      <c r="A5" t="inlineStr">
        <is>
          <t>Margem Líquida</t>
        </is>
      </c>
      <c r="B5" s="6">
        <f>'DRE Cascata G4'!F28/'DRE Cascata G4'!F2</f>
        <v/>
      </c>
      <c r="C5" t="inlineStr">
        <is>
          <t>8–15%</t>
        </is>
      </c>
      <c r="D5" t="inlineStr">
        <is>
          <t>Checar se faltou despesa</t>
        </is>
      </c>
    </row>
    <row r="6">
      <c r="A6" t="inlineStr">
        <is>
          <t>Ponto de equilíbrio (R$/mês)</t>
        </is>
      </c>
      <c r="B6" s="5">
        <f>-'DRE Cascata G4'!F13/('DRE Cascata G4'!F12/'DRE Cascata G4'!F2)</f>
        <v/>
      </c>
      <c r="C6" t="inlineStr">
        <is>
          <t>—</t>
        </is>
      </c>
      <c r="D6" t="inlineStr">
        <is>
          <t>Receita atual ~30% acima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2026-06-30T19:39:56Z</dcterms:created>
  <dcterms:modified xmlns:dcterms="http://purl.org/dc/terms/" xmlns:xsi="http://www.w3.org/2001/XMLSchema-instance" xsi:type="dcterms:W3CDTF">2026-06-30T19:39:56Z</dcterms:modified>
</cp:coreProperties>
</file>