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 dos 5 pratos" sheetId="1" state="visible" r:id="rId1"/>
    <sheet xmlns:r="http://schemas.openxmlformats.org/officeDocument/2006/relationships" name="Como 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&quot;R$&quot; * #,##0.00_-;[Red]-&quot;R$&quot; * #,##0.00_-;_-&quot;R$&quot; * &quot;-&quot;??_-;_-@_-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6" customWidth="1" min="4" max="4"/>
    <col width="22" customWidth="1" min="5" max="5"/>
    <col width="18" customWidth="1" min="6" max="6"/>
    <col width="16" customWidth="1" min="7" max="7"/>
    <col width="10" customWidth="1" min="8" max="8"/>
    <col width="14" customWidth="1" min="9" max="9"/>
    <col width="20" customWidth="1" min="10" max="10"/>
  </cols>
  <sheetData>
    <row r="1">
      <c r="A1" s="1" t="inlineStr">
        <is>
          <t>#</t>
        </is>
      </c>
      <c r="B1" s="1" t="inlineStr">
        <is>
          <t>Prato</t>
        </is>
      </c>
      <c r="C1" s="1" t="inlineStr">
        <is>
          <t>Preço Venda R$</t>
        </is>
      </c>
      <c r="D1" s="1" t="inlineStr">
        <is>
          <t>Custo Direto R$</t>
        </is>
      </c>
      <c r="E1" s="1" t="inlineStr">
        <is>
          <t>Comissão Garçom (10%) R$</t>
        </is>
      </c>
      <c r="F1" s="1" t="inlineStr">
        <is>
          <t>Taxa Cartão (3%) R$</t>
        </is>
      </c>
      <c r="G1" s="1" t="inlineStr">
        <is>
          <t>MC Unitária R$</t>
        </is>
      </c>
      <c r="H1" s="1" t="inlineStr">
        <is>
          <t>MC %</t>
        </is>
      </c>
      <c r="I1" s="1" t="inlineStr">
        <is>
          <t>Volume Mensal</t>
        </is>
      </c>
      <c r="J1" s="1" t="inlineStr">
        <is>
          <t>MC Total Mensal R$</t>
        </is>
      </c>
    </row>
    <row r="2">
      <c r="A2" t="n">
        <v>1</v>
      </c>
      <c r="B2" t="inlineStr">
        <is>
          <t>Filé à parmegiana</t>
        </is>
      </c>
      <c r="C2" s="2" t="n">
        <v>58</v>
      </c>
      <c r="D2" s="2" t="n">
        <v>18</v>
      </c>
      <c r="E2" s="2">
        <f>C2*0.1</f>
        <v/>
      </c>
      <c r="F2" s="2">
        <f>C2*0.03</f>
        <v/>
      </c>
      <c r="G2" s="2">
        <f>C2-D2-E2-F2</f>
        <v/>
      </c>
      <c r="H2" s="3">
        <f>G2/C2</f>
        <v/>
      </c>
      <c r="I2" t="n">
        <v>240</v>
      </c>
      <c r="J2" s="2">
        <f>G2*I2</f>
        <v/>
      </c>
    </row>
    <row r="3">
      <c r="A3" t="n">
        <v>2</v>
      </c>
      <c r="B3" t="inlineStr">
        <is>
          <t>Camarão na moranga</t>
        </is>
      </c>
      <c r="C3" s="2" t="n">
        <v>78</v>
      </c>
      <c r="D3" s="2" t="n">
        <v>32</v>
      </c>
      <c r="E3" s="2">
        <f>C3*0.1</f>
        <v/>
      </c>
      <c r="F3" s="2">
        <f>C3*0.03</f>
        <v/>
      </c>
      <c r="G3" s="2">
        <f>C3-D3-E3-F3</f>
        <v/>
      </c>
      <c r="H3" s="3">
        <f>G3/C3</f>
        <v/>
      </c>
      <c r="I3" t="n">
        <v>110</v>
      </c>
      <c r="J3" s="2">
        <f>G3*I3</f>
        <v/>
      </c>
    </row>
    <row r="4">
      <c r="A4" t="n">
        <v>3</v>
      </c>
      <c r="B4" t="inlineStr">
        <is>
          <t>Picanha na chapa</t>
        </is>
      </c>
      <c r="C4" s="2" t="n">
        <v>92</v>
      </c>
      <c r="D4" s="2" t="n">
        <v>41</v>
      </c>
      <c r="E4" s="2">
        <f>C4*0.1</f>
        <v/>
      </c>
      <c r="F4" s="2">
        <f>C4*0.03</f>
        <v/>
      </c>
      <c r="G4" s="2">
        <f>C4-D4-E4-F4</f>
        <v/>
      </c>
      <c r="H4" s="3">
        <f>G4/C4</f>
        <v/>
      </c>
      <c r="I4" t="n">
        <v>180</v>
      </c>
      <c r="J4" s="2">
        <f>G4*I4</f>
        <v/>
      </c>
    </row>
    <row r="5">
      <c r="A5" t="n">
        <v>4</v>
      </c>
      <c r="B5" t="inlineStr">
        <is>
          <t>Risoto de frutos do mar</t>
        </is>
      </c>
      <c r="C5" s="2" t="n">
        <v>65</v>
      </c>
      <c r="D5" s="2" t="n">
        <v>28</v>
      </c>
      <c r="E5" s="2">
        <f>C5*0.1</f>
        <v/>
      </c>
      <c r="F5" s="2">
        <f>C5*0.03</f>
        <v/>
      </c>
      <c r="G5" s="2">
        <f>C5-D5-E5-F5</f>
        <v/>
      </c>
      <c r="H5" s="3">
        <f>G5/C5</f>
        <v/>
      </c>
      <c r="I5" t="n">
        <v>95</v>
      </c>
      <c r="J5" s="2">
        <f>G5*I5</f>
        <v/>
      </c>
    </row>
    <row r="6">
      <c r="A6" t="n">
        <v>5</v>
      </c>
      <c r="B6" t="inlineStr">
        <is>
          <t>Hambúrguer da casa</t>
        </is>
      </c>
      <c r="C6" s="2" t="n">
        <v>42</v>
      </c>
      <c r="D6" s="2" t="n">
        <v>14</v>
      </c>
      <c r="E6" s="2">
        <f>C6*0.1</f>
        <v/>
      </c>
      <c r="F6" s="2">
        <f>C6*0.03</f>
        <v/>
      </c>
      <c r="G6" s="2">
        <f>C6-D6-E6-F6</f>
        <v/>
      </c>
      <c r="H6" s="3">
        <f>G6/C6</f>
        <v/>
      </c>
      <c r="I6" t="n">
        <v>320</v>
      </c>
      <c r="J6" s="2">
        <f>G6*I6</f>
        <v/>
      </c>
    </row>
    <row r="7">
      <c r="A7" s="4" t="n"/>
      <c r="B7" s="4" t="inlineStr">
        <is>
          <t>TOTAL</t>
        </is>
      </c>
      <c r="C7" s="4" t="n"/>
      <c r="D7" s="4" t="n"/>
      <c r="E7" s="4" t="n"/>
      <c r="F7" s="4" t="n"/>
      <c r="G7" s="4" t="n"/>
      <c r="H7" s="4" t="n"/>
      <c r="I7" s="4">
        <f>SUM(I2:I6)</f>
        <v/>
      </c>
      <c r="J7" s="5">
        <f>SUM(J2:J6)</f>
        <v/>
      </c>
    </row>
    <row r="9">
      <c r="A9" s="6" t="inlineStr">
        <is>
          <t>Ranking por MC Total Mensal</t>
        </is>
      </c>
    </row>
    <row r="10">
      <c r="A10" s="1" t="inlineStr">
        <is>
          <t>Posição</t>
        </is>
      </c>
      <c r="B10" s="1" t="inlineStr">
        <is>
          <t>Prato</t>
        </is>
      </c>
      <c r="C10" s="1" t="inlineStr">
        <is>
          <t>MC Total R$/mês</t>
        </is>
      </c>
    </row>
    <row r="11">
      <c r="A11" t="inlineStr">
        <is>
          <t>1º</t>
        </is>
      </c>
      <c r="B11">
        <f>B2</f>
        <v/>
      </c>
      <c r="C11" s="2">
        <f>J2</f>
        <v/>
      </c>
    </row>
    <row r="12">
      <c r="A12" t="inlineStr">
        <is>
          <t>2º</t>
        </is>
      </c>
      <c r="B12">
        <f>B6</f>
        <v/>
      </c>
      <c r="C12" s="2">
        <f>J6</f>
        <v/>
      </c>
    </row>
    <row r="13">
      <c r="A13" t="inlineStr">
        <is>
          <t>3º</t>
        </is>
      </c>
      <c r="B13">
        <f>B4</f>
        <v/>
      </c>
      <c r="C13" s="2">
        <f>J4</f>
        <v/>
      </c>
    </row>
    <row r="14">
      <c r="A14" t="inlineStr">
        <is>
          <t>4º</t>
        </is>
      </c>
      <c r="B14">
        <f>B3</f>
        <v/>
      </c>
      <c r="C14" s="2">
        <f>J3</f>
        <v/>
      </c>
    </row>
    <row r="15">
      <c r="A15" t="inlineStr">
        <is>
          <t>5º</t>
        </is>
      </c>
      <c r="B15">
        <f>B5</f>
        <v/>
      </c>
      <c r="C15" s="2">
        <f>J5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Conceito</t>
        </is>
      </c>
      <c r="B1" s="1" t="inlineStr">
        <is>
          <t>Explicação</t>
        </is>
      </c>
    </row>
    <row r="2" ht="45" customHeight="1">
      <c r="A2" t="inlineStr">
        <is>
          <t>MC unitária</t>
        </is>
      </c>
      <c r="B2" s="7" t="inlineStr">
        <is>
          <t>Quanto sobra de cada prato vendido DEPOIS de descontar custo direto + comissão garçom + taxa cartão. Ainda NÃO desconta aluguel, folha, energia (esses são fixos).</t>
        </is>
      </c>
    </row>
    <row r="3" ht="45" customHeight="1">
      <c r="A3" t="inlineStr">
        <is>
          <t>MC %</t>
        </is>
      </c>
      <c r="B3" s="7" t="inlineStr">
        <is>
          <t>Eficiência da margem por unidade. Quanto maior, mais 'resiliente' o prato a aumento de custo de insumo.</t>
        </is>
      </c>
    </row>
    <row r="4" ht="45" customHeight="1">
      <c r="A4" t="inlineStr">
        <is>
          <t>MC Total Mensal</t>
        </is>
      </c>
      <c r="B4" s="7" t="inlineStr">
        <is>
          <t>MC unitária × volume vendido no mês. É o número que MAIS importa pra decisão de cardápio: qual prato GERA mais resultado pro restaurante.</t>
        </is>
      </c>
    </row>
    <row r="5" ht="45" customHeight="1">
      <c r="A5" t="inlineStr">
        <is>
          <t>Por que 3 rankings diferentes</t>
        </is>
      </c>
      <c r="B5" s="7" t="inlineStr">
        <is>
          <t>MC absoluta R$ — quanto cada venda contribui (foco em upselling). MC % — eficiência (foco em proteção de margem). MC Total Mensal — resultado real (foco em decisão de cardápio).</t>
        </is>
      </c>
    </row>
    <row r="6" ht="45" customHeight="1">
      <c r="A6" t="inlineStr">
        <is>
          <t>Regra G4</t>
        </is>
      </c>
      <c r="B6" s="7" t="inlineStr">
        <is>
          <t>Cardápio precisa ter mix dos 4 quadrantes (alta MC%/alta MC R$/alto giro/baixo giro). Carta toda no mesmo quadrante quebra o negócio.</t>
        </is>
      </c>
    </row>
    <row r="7" ht="45" customHeight="1">
      <c r="A7" t="inlineStr">
        <is>
          <t>Cuidado</t>
        </is>
      </c>
      <c r="B7" s="7" t="inlineStr">
        <is>
          <t>MC alta sozinha não decide nada — pode ser prato que cliente nem pede. Cruze com volume real.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2026-06-30T19:39:56Z</dcterms:created>
  <dcterms:modified xmlns:dcterms="http://purl.org/dc/terms/" xmlns:xsi="http://www.w3.org/2001/XMLSchema-instance" xsi:type="dcterms:W3CDTF">2026-06-30T19:39:56Z</dcterms:modified>
</cp:coreProperties>
</file>