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azonal" sheetId="2" state="visible" r:id="rId2"/>
    <sheet xmlns:r="http://schemas.openxmlformats.org/officeDocument/2006/relationships" name="Receita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DRE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F6A4D"/>
      <sz val="10"/>
    </font>
    <font>
      <name val="Arial"/>
      <b val="1"/>
      <color rgb="002C5F70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8F6A4D"/>
      <sz val="9"/>
    </font>
    <font>
      <name val="Arial"/>
      <color rgb="00008000"/>
      <sz val="10"/>
    </font>
    <font>
      <name val="Arial"/>
      <b val="1"/>
      <sz val="11"/>
    </font>
    <font>
      <name val="Arial"/>
      <b val="1"/>
      <i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2C5F70"/>
      </patternFill>
    </fill>
    <fill>
      <patternFill patternType="solid">
        <fgColor rgb="00FFFF99"/>
      </patternFill>
    </fill>
    <fill>
      <patternFill patternType="solid">
        <fgColor rgb="00F4F1EA"/>
      </patternFill>
    </fill>
    <fill>
      <patternFill patternType="solid">
        <fgColor rgb="00E8EE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0" pivotButton="0" quotePrefix="0" xfId="0"/>
    <xf numFmtId="2" fontId="8" fillId="3" borderId="0" pivotButton="0" quotePrefix="0" xfId="0"/>
    <xf numFmtId="0" fontId="9" fillId="0" borderId="0" pivotButton="0" quotePrefix="0" xfId="0"/>
    <xf numFmtId="164" fontId="8" fillId="0" borderId="0" pivotButton="0" quotePrefix="0" xfId="0"/>
    <xf numFmtId="164" fontId="0" fillId="3" borderId="0" pivotButton="0" quotePrefix="0" xfId="0"/>
    <xf numFmtId="164" fontId="4" fillId="0" borderId="0" pivotButton="0" quotePrefix="0" xfId="0"/>
    <xf numFmtId="164" fontId="4" fillId="4" borderId="0" pivotButton="0" quotePrefix="0" xfId="0"/>
    <xf numFmtId="164" fontId="10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0" fontId="11" fillId="0" borderId="0" pivotButton="0" quotePrefix="0" xfId="0"/>
    <xf numFmtId="164" fontId="3" fillId="5" borderId="0" pivotButton="0" quotePrefix="0" xfId="0"/>
    <xf numFmtId="0" fontId="12" fillId="0" borderId="0" pivotButton="0" quotePrefix="0" xfId="0"/>
    <xf numFmtId="165" fontId="13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165" fontId="1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Marcos</author>
  </authors>
  <commentList>
    <comment ref="C4" authorId="0" shapeId="0">
      <text>
        <t>Marcos: aqui está o dissídio de Q1 embutido (fator 1.08 = +8%). Não mudar sem alinhar RH.</t>
      </text>
    </comment>
    <comment ref="E7" authorId="0" shapeId="0">
      <text>
        <t>Marcos: fator de Black Friday. Historicamente vira +40% em marketing.</t>
      </text>
    </comment>
  </commentList>
</comments>
</file>

<file path=xl/comments/comment2.xml><?xml version="1.0" encoding="utf-8"?>
<comments xmlns="http://schemas.openxmlformats.org/spreadsheetml/2006/main">
  <authors>
    <author>Marcos</author>
  </authors>
  <commentList>
    <comment ref="B4" authorId="0" shapeId="0">
      <text>
        <t>Marcos: Q1 já com sazonalidade aplicada (Q1 é historicamente 12% abaixo do trimestre médio).</t>
      </text>
    </comment>
  </commentList>
</comments>
</file>

<file path=xl/comments/comment3.xml><?xml version="1.0" encoding="utf-8"?>
<comments xmlns="http://schemas.openxmlformats.org/spreadsheetml/2006/main">
  <authors>
    <author>Marcos</author>
  </authors>
  <commentList>
    <comment ref="B4" authorId="0" shapeId="0">
      <text>
        <t>Marcos: Q1 tem +8% por dissídio (aumento salarial anual). Está batido com fator de 'Sazonal'!C4.</t>
      </text>
    </comment>
  </commentList>
</comments>
</file>

<file path=xl/comments/comment4.xml><?xml version="1.0" encoding="utf-8"?>
<comments xmlns="http://schemas.openxmlformats.org/spreadsheetml/2006/main">
  <authors>
    <author>Marcos</author>
  </authors>
  <commentList>
    <comment ref="B7" authorId="0" shapeId="0">
      <text>
        <t>Marcos: aplica o fator de sazonalidade em CIMA da margem bruta — NÃO em cima da receita. Se inverter, distorce Q1.</t>
      </text>
    </comment>
  </commentList>
</comments>
</file>

<file path=xl/comments/comment5.xml><?xml version="1.0" encoding="utf-8"?>
<comments xmlns="http://schemas.openxmlformats.org/spreadsheetml/2006/main">
  <authors>
    <author>Marcos</author>
  </authors>
  <commentList>
    <comment ref="A6" authorId="0" shapeId="0">
      <text>
        <t>Marcos: usa TOTAL de entregas do trimestre, NÃO média mensal. Isso costuma passar despercebido.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Modelo de Acompanhamento Trimestral · versão herdada</t>
        </is>
      </c>
    </row>
    <row r="2">
      <c r="A2" s="2" t="inlineStr">
        <is>
          <t>Última edição: Marcos S. · Q2/2026 · Marcos saiu da equipe em Jul/2026</t>
        </is>
      </c>
    </row>
    <row r="4">
      <c r="A4" s="3" t="inlineStr">
        <is>
          <t>Estrutura do modelo</t>
        </is>
      </c>
    </row>
    <row r="5">
      <c r="A5" s="4" t="inlineStr">
        <is>
          <t>Aba 'Sazonal'</t>
        </is>
      </c>
      <c r="B5" s="5" t="inlineStr">
        <is>
          <t>Fatores de sazonalidade trimestrais. NUNCA mudar sem alinhar com finanças.</t>
        </is>
      </c>
    </row>
    <row r="6">
      <c r="A6" s="4" t="inlineStr">
        <is>
          <t>Aba 'Receita'</t>
        </is>
      </c>
      <c r="B6" s="5" t="inlineStr">
        <is>
          <t>Receita bruta por trimestre. Q1-Q2 preenchidos. Q3-Q4 vazios (você preenche).</t>
        </is>
      </c>
    </row>
    <row r="7">
      <c r="A7" s="4" t="inlineStr">
        <is>
          <t>Aba 'Custos'</t>
        </is>
      </c>
      <c r="B7" s="5" t="inlineStr">
        <is>
          <t>Custos por trimestre. Salários + Operacional + Marketing.</t>
        </is>
      </c>
    </row>
    <row r="8">
      <c r="A8" s="4" t="inlineStr">
        <is>
          <t>Aba 'DRE'</t>
        </is>
      </c>
      <c r="B8" s="5" t="inlineStr">
        <is>
          <t>Puxa Receita e Custos, aplica sazonalidade, entrega margem líquida.</t>
        </is>
      </c>
    </row>
    <row r="9">
      <c r="A9" s="4" t="inlineStr">
        <is>
          <t>Aba 'KPIs'</t>
        </is>
      </c>
      <c r="B9" s="5" t="inlineStr">
        <is>
          <t>Indicadores derivados do DRE — ticket médio, custo/entrega, margem %.</t>
        </is>
      </c>
    </row>
    <row r="12">
      <c r="A12" s="3" t="inlineStr">
        <is>
          <t>Código de cor</t>
        </is>
      </c>
    </row>
    <row r="13">
      <c r="A13" s="4" t="inlineStr">
        <is>
          <t>Azul (0,0,255)</t>
        </is>
      </c>
      <c r="B13" s="5" t="inlineStr">
        <is>
          <t>Input hardcoded — você edita direto</t>
        </is>
      </c>
    </row>
    <row r="14">
      <c r="A14" s="4" t="inlineStr">
        <is>
          <t>Preto</t>
        </is>
      </c>
      <c r="B14" s="5" t="inlineStr">
        <is>
          <t>Fórmula da mesma aba</t>
        </is>
      </c>
    </row>
    <row r="15">
      <c r="A15" s="4" t="inlineStr">
        <is>
          <t>Verde (0,128,0)</t>
        </is>
      </c>
      <c r="B15" s="5" t="inlineStr">
        <is>
          <t>Fórmula que puxa de outra aba</t>
        </is>
      </c>
    </row>
    <row r="16">
      <c r="A16" s="4" t="inlineStr">
        <is>
          <t>Amarelo fill</t>
        </is>
      </c>
      <c r="B16" s="5" t="inlineStr">
        <is>
          <t>Premissa-chave — revise a cada trimestre</t>
        </is>
      </c>
    </row>
    <row r="19">
      <c r="A19" s="3" t="inlineStr">
        <is>
          <t>Notas do Marcos (do que ele deixou)</t>
        </is>
      </c>
    </row>
    <row r="20">
      <c r="A20" s="5" t="inlineStr">
        <is>
          <t>1. A sazonalidade é aplicada ANTES do cálculo de margem — não depois. Se inverter, distorce Q1.</t>
        </is>
      </c>
    </row>
    <row r="21">
      <c r="A21" s="5" t="inlineStr">
        <is>
          <t>2. Custo de salário sobe 8% em Q1 (dissídio). Isso está hardcoded em 'Custos'!C4.</t>
        </is>
      </c>
    </row>
    <row r="22">
      <c r="A22" s="5" t="inlineStr">
        <is>
          <t>3. Marketing é sazonal: sobe 40% em Q4 (Black Friday). Está no fator de 'Sazonal'!C5.</t>
        </is>
      </c>
    </row>
    <row r="23">
      <c r="A23" s="5" t="inlineStr">
        <is>
          <t>4. KPI 'custo por entrega' usa TOTAL de entregas do trimestre, não a média mensal.</t>
        </is>
      </c>
    </row>
    <row r="24">
      <c r="A24" s="5" t="inlineStr">
        <is>
          <t>5. Se receita cair &gt;20% num trimestre, o modelo 'trava' custos no nível anterior (proteção manual).</t>
        </is>
      </c>
    </row>
  </sheetData>
  <mergeCells count="6">
    <mergeCell ref="A1:C1"/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6" t="inlineStr">
        <is>
          <t>Fatores de Sazonalidade</t>
        </is>
      </c>
    </row>
    <row r="3">
      <c r="A3" s="7" t="inlineStr">
        <is>
          <t>Trimestre</t>
        </is>
      </c>
      <c r="B3" s="7" t="inlineStr">
        <is>
          <t>Receita</t>
        </is>
      </c>
      <c r="C3" s="7" t="inlineStr">
        <is>
          <t>Custo salário</t>
        </is>
      </c>
      <c r="D3" s="7" t="inlineStr">
        <is>
          <t>Custo operacional</t>
        </is>
      </c>
      <c r="E3" s="7" t="inlineStr">
        <is>
          <t>Custo marketing</t>
        </is>
      </c>
    </row>
    <row r="4">
      <c r="A4" s="8" t="inlineStr">
        <is>
          <t>Q1</t>
        </is>
      </c>
      <c r="B4" s="9" t="n">
        <v>0.88</v>
      </c>
      <c r="C4" s="9" t="n">
        <v>1.08</v>
      </c>
      <c r="D4" s="9" t="n">
        <v>1</v>
      </c>
      <c r="E4" s="9" t="n">
        <v>0.85</v>
      </c>
    </row>
    <row r="5">
      <c r="A5" s="8" t="inlineStr">
        <is>
          <t>Q2</t>
        </is>
      </c>
      <c r="B5" s="9" t="n">
        <v>1.02</v>
      </c>
      <c r="C5" s="9" t="n">
        <v>1</v>
      </c>
      <c r="D5" s="9" t="n">
        <v>1</v>
      </c>
      <c r="E5" s="9" t="n">
        <v>0.95</v>
      </c>
    </row>
    <row r="6">
      <c r="A6" s="8" t="inlineStr">
        <is>
          <t>Q3</t>
        </is>
      </c>
      <c r="B6" s="9" t="n">
        <v>0.95</v>
      </c>
      <c r="C6" s="9" t="n">
        <v>1</v>
      </c>
      <c r="D6" s="9" t="n">
        <v>1</v>
      </c>
      <c r="E6" s="9" t="n">
        <v>0.9</v>
      </c>
    </row>
    <row r="7">
      <c r="A7" s="8" t="inlineStr">
        <is>
          <t>Q4</t>
        </is>
      </c>
      <c r="B7" s="9" t="n">
        <v>1.15</v>
      </c>
      <c r="C7" s="9" t="n">
        <v>1</v>
      </c>
      <c r="D7" s="9" t="n">
        <v>1.05</v>
      </c>
      <c r="E7" s="9" t="n">
        <v>1.4</v>
      </c>
    </row>
    <row r="9">
      <c r="A9" s="10" t="inlineStr">
        <is>
          <t>Fatores fictícios · revisar a cada ano</t>
        </is>
      </c>
    </row>
  </sheetData>
  <mergeCells count="2">
    <mergeCell ref="A1:E1"/>
    <mergeCell ref="A9:E9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6" t="inlineStr">
        <is>
          <t>Receita Trimestral 2026</t>
        </is>
      </c>
    </row>
    <row r="3">
      <c r="A3" s="7" t="inlineStr">
        <is>
          <t>Segmento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  <c r="E3" s="7" t="inlineStr">
        <is>
          <t>Q4</t>
        </is>
      </c>
      <c r="F3" s="7" t="inlineStr">
        <is>
          <t>Total ano</t>
        </is>
      </c>
    </row>
    <row r="4">
      <c r="A4" s="4" t="inlineStr">
        <is>
          <t>Serviços recorrentes</t>
        </is>
      </c>
      <c r="B4" s="11" t="n">
        <v>420000</v>
      </c>
      <c r="C4" s="11" t="n">
        <v>465000</v>
      </c>
      <c r="D4" s="12" t="n"/>
      <c r="E4" s="12" t="n"/>
      <c r="F4" s="13">
        <f>SUM(B4:E4)</f>
        <v/>
      </c>
    </row>
    <row r="5">
      <c r="A5" s="4" t="inlineStr">
        <is>
          <t>Projetos pontuais</t>
        </is>
      </c>
      <c r="B5" s="11" t="n">
        <v>180000</v>
      </c>
      <c r="C5" s="11" t="n">
        <v>210000</v>
      </c>
      <c r="D5" s="12" t="n"/>
      <c r="E5" s="12" t="n"/>
      <c r="F5" s="13">
        <f>SUM(B5:E5)</f>
        <v/>
      </c>
    </row>
    <row r="6">
      <c r="A6" s="4" t="inlineStr">
        <is>
          <t>Consultoria estratégica</t>
        </is>
      </c>
      <c r="B6" s="11" t="n">
        <v>95000</v>
      </c>
      <c r="C6" s="11" t="n">
        <v>110000</v>
      </c>
      <c r="D6" s="12" t="n"/>
      <c r="E6" s="12" t="n"/>
      <c r="F6" s="13">
        <f>SUM(B6:E6)</f>
        <v/>
      </c>
    </row>
    <row r="7">
      <c r="A7" s="4" t="inlineStr">
        <is>
          <t>Treinamentos</t>
        </is>
      </c>
      <c r="B7" s="11" t="n">
        <v>60000</v>
      </c>
      <c r="C7" s="11" t="n">
        <v>72000</v>
      </c>
      <c r="D7" s="12" t="n"/>
      <c r="E7" s="12" t="n"/>
      <c r="F7" s="13">
        <f>SUM(B7:E7)</f>
        <v/>
      </c>
    </row>
    <row r="8">
      <c r="A8" s="4" t="inlineStr">
        <is>
          <t>Total</t>
        </is>
      </c>
      <c r="B8" s="14">
        <f>SUM(B4:B7)</f>
        <v/>
      </c>
      <c r="C8" s="14">
        <f>SUM(C4:C7)</f>
        <v/>
      </c>
      <c r="D8" s="14">
        <f>SUM(D4:D7)</f>
        <v/>
      </c>
      <c r="E8" s="14">
        <f>SUM(E4:E7)</f>
        <v/>
      </c>
      <c r="F8" s="14">
        <f>SUM(F4:F7)</f>
        <v/>
      </c>
    </row>
    <row r="10">
      <c r="A10" s="10" t="inlineStr">
        <is>
          <t>Legenda: azul = valor real preenchido · amarelo = a preencher (Q3-Q4)</t>
        </is>
      </c>
    </row>
  </sheetData>
  <mergeCells count="2">
    <mergeCell ref="A1:F1"/>
    <mergeCell ref="A10:F10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6" t="inlineStr">
        <is>
          <t>Custos Trimestrais 2026</t>
        </is>
      </c>
    </row>
    <row r="3">
      <c r="A3" s="7" t="inlineStr">
        <is>
          <t>Categoria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  <c r="E3" s="7" t="inlineStr">
        <is>
          <t>Q4</t>
        </is>
      </c>
      <c r="F3" s="7" t="inlineStr">
        <is>
          <t>Total ano</t>
        </is>
      </c>
    </row>
    <row r="4">
      <c r="A4" s="4" t="inlineStr">
        <is>
          <t>Salários (com encargos)</t>
        </is>
      </c>
      <c r="B4" s="11" t="n">
        <v>285000</v>
      </c>
      <c r="C4" s="11" t="n">
        <v>265000</v>
      </c>
      <c r="D4" s="12" t="n"/>
      <c r="E4" s="12" t="n"/>
      <c r="F4" s="13">
        <f>SUM(B4:E4)</f>
        <v/>
      </c>
    </row>
    <row r="5">
      <c r="A5" s="4" t="inlineStr">
        <is>
          <t>Operacional (aluguel/luz/software)</t>
        </is>
      </c>
      <c r="B5" s="11" t="n">
        <v>78000</v>
      </c>
      <c r="C5" s="11" t="n">
        <v>78000</v>
      </c>
      <c r="D5" s="12" t="n"/>
      <c r="E5" s="12" t="n"/>
      <c r="F5" s="13">
        <f>SUM(B5:E5)</f>
        <v/>
      </c>
    </row>
    <row r="6">
      <c r="A6" s="4" t="inlineStr">
        <is>
          <t>Marketing</t>
        </is>
      </c>
      <c r="B6" s="11" t="n">
        <v>42000</v>
      </c>
      <c r="C6" s="11" t="n">
        <v>48000</v>
      </c>
      <c r="D6" s="12" t="n"/>
      <c r="E6" s="12" t="n"/>
      <c r="F6" s="13">
        <f>SUM(B6:E6)</f>
        <v/>
      </c>
    </row>
    <row r="7">
      <c r="A7" s="4" t="inlineStr">
        <is>
          <t>Impostos + taxas</t>
        </is>
      </c>
      <c r="B7" s="11" t="n">
        <v>68000</v>
      </c>
      <c r="C7" s="11" t="n">
        <v>72000</v>
      </c>
      <c r="D7" s="12" t="n"/>
      <c r="E7" s="12" t="n"/>
      <c r="F7" s="13">
        <f>SUM(B7:E7)</f>
        <v/>
      </c>
    </row>
    <row r="8">
      <c r="A8" s="4" t="inlineStr">
        <is>
          <t>Total</t>
        </is>
      </c>
      <c r="B8" s="14">
        <f>SUM(B4:B7)</f>
        <v/>
      </c>
      <c r="C8" s="14">
        <f>SUM(C4:C7)</f>
        <v/>
      </c>
      <c r="D8" s="14">
        <f>SUM(D4:D7)</f>
        <v/>
      </c>
      <c r="E8" s="14">
        <f>SUM(E4:E7)</f>
        <v/>
      </c>
      <c r="F8" s="14">
        <f>SUM(F4:F7)</f>
        <v/>
      </c>
    </row>
    <row r="10">
      <c r="A10" s="10" t="inlineStr">
        <is>
          <t>Legenda: azul = hardcoded · amarelo = a preencher (Q3-Q4)</t>
        </is>
      </c>
    </row>
  </sheetData>
  <mergeCells count="2">
    <mergeCell ref="A1:F1"/>
    <mergeCell ref="A10:F10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6" t="inlineStr">
        <is>
          <t>DRE Consolidado 2026 · com sazonalidade</t>
        </is>
      </c>
    </row>
    <row r="3">
      <c r="A3" s="7" t="inlineStr">
        <is>
          <t>Linha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  <c r="E3" s="7" t="inlineStr">
        <is>
          <t>Q4</t>
        </is>
      </c>
      <c r="F3" s="7" t="inlineStr">
        <is>
          <t>Total ano</t>
        </is>
      </c>
    </row>
    <row r="4">
      <c r="A4" s="4" t="inlineStr">
        <is>
          <t>Receita bruta</t>
        </is>
      </c>
      <c r="B4" s="15">
        <f>Receita!B8</f>
        <v/>
      </c>
      <c r="C4" s="15">
        <f>Receita!C8</f>
        <v/>
      </c>
      <c r="D4" s="15">
        <f>Receita!D8</f>
        <v/>
      </c>
      <c r="E4" s="15">
        <f>Receita!E8</f>
        <v/>
      </c>
      <c r="F4" s="13">
        <f>SUM(B4:E4)</f>
        <v/>
      </c>
    </row>
    <row r="5">
      <c r="A5" s="4" t="inlineStr">
        <is>
          <t>(-) Custos totais</t>
        </is>
      </c>
      <c r="B5" s="15">
        <f>-Custos!B8</f>
        <v/>
      </c>
      <c r="C5" s="15">
        <f>-Custos!C8</f>
        <v/>
      </c>
      <c r="D5" s="15">
        <f>-Custos!D8</f>
        <v/>
      </c>
      <c r="E5" s="15">
        <f>-Custos!E8</f>
        <v/>
      </c>
      <c r="F5" s="13">
        <f>SUM(B5:E5)</f>
        <v/>
      </c>
    </row>
    <row r="6">
      <c r="A6" s="4" t="inlineStr">
        <is>
          <t>Margem bruta</t>
        </is>
      </c>
      <c r="B6" s="14">
        <f>B4+B5</f>
        <v/>
      </c>
      <c r="C6" s="14">
        <f>C4+C5</f>
        <v/>
      </c>
      <c r="D6" s="14">
        <f>D4+D5</f>
        <v/>
      </c>
      <c r="E6" s="14">
        <f>E4+E5</f>
        <v/>
      </c>
      <c r="F6" s="14">
        <f>F4+F5</f>
        <v/>
      </c>
    </row>
    <row r="7">
      <c r="A7" s="16" t="inlineStr">
        <is>
          <t>Ajuste sazonalidade</t>
        </is>
      </c>
      <c r="B7" s="15">
        <f>B6*(Sazonal!B4-1)</f>
        <v/>
      </c>
      <c r="C7" s="15">
        <f>C6*(Sazonal!B5-1)</f>
        <v/>
      </c>
      <c r="D7" s="15">
        <f>D6*(Sazonal!B6-1)</f>
        <v/>
      </c>
      <c r="E7" s="15">
        <f>E6*(Sazonal!B7-1)</f>
        <v/>
      </c>
      <c r="F7" s="17">
        <f>SUM(B7:E7)</f>
        <v/>
      </c>
    </row>
    <row r="8">
      <c r="A8" s="18" t="inlineStr">
        <is>
          <t>Margem líquida</t>
        </is>
      </c>
      <c r="B8" s="19">
        <f>B6+B7</f>
        <v/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</row>
    <row r="10">
      <c r="A10" s="20" t="inlineStr">
        <is>
          <t>Margem %</t>
        </is>
      </c>
      <c r="B10" s="21">
        <f>IFERROR(B8/B4, 0)</f>
        <v/>
      </c>
      <c r="C10" s="21">
        <f>IFERROR(C8/C4, 0)</f>
        <v/>
      </c>
      <c r="D10" s="21">
        <f>IFERROR(D8/D4, 0)</f>
        <v/>
      </c>
      <c r="E10" s="21">
        <f>IFERROR(E8/E4, 0)</f>
        <v/>
      </c>
      <c r="F10" s="21">
        <f>IFERROR(F8/F4, 0)</f>
        <v/>
      </c>
    </row>
    <row r="12">
      <c r="A12" s="10" t="inlineStr">
        <is>
          <t>Verde = puxa de outra aba · Amarelo = ajuste sazonal ativo</t>
        </is>
      </c>
    </row>
  </sheetData>
  <mergeCells count="2">
    <mergeCell ref="A1:F1"/>
    <mergeCell ref="A12:F12"/>
  </mergeCells>
  <conditionalFormatting sqref="B8:E8">
    <cfRule type="dataBar" priority="1">
      <dataBar>
        <cfvo type="min"/>
        <cfvo type="max"/>
        <color rgb="002C5F70"/>
      </dataBar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s="6" t="inlineStr">
        <is>
          <t>KPIs derivados</t>
        </is>
      </c>
    </row>
    <row r="3">
      <c r="A3" s="7" t="inlineStr">
        <is>
          <t>Indicador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  <c r="E3" s="7" t="inlineStr">
        <is>
          <t>Q4</t>
        </is>
      </c>
      <c r="F3" s="7" t="inlineStr">
        <is>
          <t>Ano</t>
        </is>
      </c>
    </row>
    <row r="4">
      <c r="A4" s="4" t="inlineStr">
        <is>
          <t>Entregas concluídas (nº)</t>
        </is>
      </c>
      <c r="B4" s="22" t="n">
        <v>186</v>
      </c>
      <c r="C4" s="22" t="n">
        <v>214</v>
      </c>
      <c r="D4" s="23" t="n"/>
      <c r="E4" s="23" t="n"/>
      <c r="F4" s="4">
        <f>SUM(B4:E4)</f>
        <v/>
      </c>
    </row>
    <row r="5">
      <c r="A5" s="4" t="inlineStr">
        <is>
          <t>Ticket médio (R$/entrega)</t>
        </is>
      </c>
      <c r="B5" s="15">
        <f>IFERROR(DRE!B4/B4, 0)</f>
        <v/>
      </c>
      <c r="C5" s="15">
        <f>IFERROR(DRE!C4/C4, 0)</f>
        <v/>
      </c>
      <c r="D5" s="15">
        <f>IFERROR(DRE!D4/D4, 0)</f>
        <v/>
      </c>
      <c r="E5" s="15">
        <f>IFERROR(DRE!E4/E4, 0)</f>
        <v/>
      </c>
      <c r="F5" s="13">
        <f>IFERROR(DRE!F4/F4, 0)</f>
        <v/>
      </c>
    </row>
    <row r="6">
      <c r="A6" s="16" t="inlineStr">
        <is>
          <t>Custo por entrega (R$)</t>
        </is>
      </c>
      <c r="B6" s="15">
        <f>IFERROR(-DRE!B5/B4, 0)</f>
        <v/>
      </c>
      <c r="C6" s="15">
        <f>IFERROR(-DRE!C5/C4, 0)</f>
        <v/>
      </c>
      <c r="D6" s="15">
        <f>IFERROR(-DRE!D5/D4, 0)</f>
        <v/>
      </c>
      <c r="E6" s="15">
        <f>IFERROR(-DRE!E5/E4, 0)</f>
        <v/>
      </c>
      <c r="F6" s="13">
        <f>IFERROR(-DRE!F5/F4, 0)</f>
        <v/>
      </c>
    </row>
    <row r="7">
      <c r="A7" s="4" t="inlineStr">
        <is>
          <t>Margem líquida %</t>
        </is>
      </c>
      <c r="B7" s="24">
        <f>DRE!B10</f>
        <v/>
      </c>
      <c r="C7" s="24">
        <f>DRE!C10</f>
        <v/>
      </c>
      <c r="D7" s="24">
        <f>DRE!D10</f>
        <v/>
      </c>
      <c r="E7" s="24">
        <f>DRE!E10</f>
        <v/>
      </c>
      <c r="F7" s="25">
        <f>DRE!F10</f>
        <v/>
      </c>
    </row>
    <row r="9">
      <c r="A9" s="10" t="inlineStr">
        <is>
          <t>Verde = fórmula puxando de outra aba · Azul = hardcoded · Amarelo = premissa-chave</t>
        </is>
      </c>
    </row>
  </sheetData>
  <mergeCells count="2">
    <mergeCell ref="A1:F1"/>
    <mergeCell ref="A9:F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2026-07-23T10:46:36Z</dcterms:created>
  <dcterms:modified xmlns:dcterms="http://purl.org/dc/terms/" xmlns:xsi="http://www.w3.org/2001/XMLSchema-instance" xsi:type="dcterms:W3CDTF">2026-07-23T10:46:36Z</dcterms:modified>
</cp:coreProperties>
</file>